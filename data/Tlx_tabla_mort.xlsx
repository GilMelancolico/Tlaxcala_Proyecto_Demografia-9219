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10" sheetId="1" r:id="rId5"/>
    <sheet state="visible" name="2020" sheetId="2" r:id="rId6"/>
    <sheet state="visible" name="2019" sheetId="3" r:id="rId7"/>
    <sheet state="visible" name="2021" sheetId="4" r:id="rId8"/>
  </sheets>
  <definedNames/>
  <calcPr/>
</workbook>
</file>

<file path=xl/sharedStrings.xml><?xml version="1.0" encoding="utf-8"?>
<sst xmlns="http://schemas.openxmlformats.org/spreadsheetml/2006/main" count="28" uniqueCount="7">
  <si>
    <t>x</t>
  </si>
  <si>
    <t>n</t>
  </si>
  <si>
    <t>nKxh</t>
  </si>
  <si>
    <t>nKxm</t>
  </si>
  <si>
    <t>nDxh</t>
  </si>
  <si>
    <t>nDxm</t>
  </si>
  <si>
    <t>95+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</si>
</sst>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sz val="11.0"/>
      <color theme="1"/>
      <name val="Arial"/>
      <scheme val="minor"/>
    </font>
    <font>
      <sz val="11.0"/>
      <color theme="1"/>
      <name val="Arial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0E0E0"/>
        <bgColor rgb="FFE0E0E0"/>
      </patternFill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vertical="bottom"/>
    </xf>
    <xf borderId="0" fillId="3" fontId="3" numFmtId="3" xfId="0" applyAlignment="1" applyFill="1" applyFont="1" applyNumberFormat="1">
      <alignment horizontal="right" readingOrder="0" vertical="top"/>
    </xf>
    <xf borderId="0" fillId="3" fontId="3" numFmtId="0" xfId="0" applyAlignment="1" applyFont="1">
      <alignment horizontal="right" vertical="top"/>
    </xf>
    <xf borderId="0" fillId="2" fontId="3" numFmtId="0" xfId="0" applyAlignment="1" applyFont="1">
      <alignment horizontal="right" vertical="top"/>
    </xf>
    <xf borderId="0" fillId="0" fontId="1" numFmtId="0" xfId="0" applyAlignment="1" applyFont="1">
      <alignment horizontal="right" shrinkToFit="0" vertical="top" wrapText="0"/>
    </xf>
    <xf borderId="0" fillId="2" fontId="2" numFmtId="0" xfId="0" applyAlignment="1" applyFont="1">
      <alignment horizontal="right" vertical="bottom"/>
    </xf>
    <xf borderId="0" fillId="3" fontId="3" numFmtId="0" xfId="0" applyAlignment="1" applyFont="1">
      <alignment horizontal="right" readingOrder="0" vertical="top"/>
    </xf>
    <xf borderId="0" fillId="0" fontId="1" numFmtId="0" xfId="0" applyAlignment="1" applyFont="1">
      <alignment horizontal="right"/>
    </xf>
    <xf borderId="0" fillId="3" fontId="3" numFmtId="0" xfId="0" applyAlignment="1" applyFont="1">
      <alignment horizontal="left" readingOrder="0" vertical="top"/>
    </xf>
    <xf borderId="0" fillId="2" fontId="3" numFmtId="0" xfId="0" applyAlignment="1" applyFont="1">
      <alignment horizontal="right" readingOrder="0" vertical="top"/>
    </xf>
    <xf borderId="0" fillId="0" fontId="1" numFmtId="0" xfId="0" applyFont="1"/>
    <xf borderId="0" fillId="2" fontId="2" numFmtId="0" xfId="0" applyAlignment="1" applyFont="1">
      <alignment horizontal="right" readingOrder="0" vertical="bottom"/>
    </xf>
    <xf borderId="0" fillId="2" fontId="2" numFmtId="0" xfId="0" applyAlignment="1" applyFont="1">
      <alignment horizontal="right" vertical="bottom"/>
    </xf>
    <xf borderId="0" fillId="0" fontId="2" numFmtId="0" xfId="0" applyAlignment="1" applyFont="1">
      <alignment horizontal="right" vertical="top"/>
    </xf>
    <xf borderId="0" fillId="0" fontId="2" numFmtId="0" xfId="0" applyAlignment="1" applyFont="1">
      <alignment horizontal="right" vertical="bottom"/>
    </xf>
    <xf borderId="0" fillId="2" fontId="2" numFmtId="0" xfId="0" applyAlignment="1" applyFont="1">
      <alignment horizontal="right" readingOrder="0" vertical="bottom"/>
    </xf>
  </cellXfs>
  <cellStyles count="1">
    <cellStyle xfId="0" name="Normal" builtinId="0"/>
  </cellStyles>
  <dxfs count="2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1">
    <tableStyle count="3" pivot="0" name="2010-style">
      <tableStyleElement dxfId="1" type="headerRow"/>
      <tableStyleElement dxfId="1" type="firstRowStripe"/>
      <tableStyleElement dxfId="1" type="secondRowStripe"/>
    </tableStyle>
    <tableStyle count="3" pivot="0" name="2020-style">
      <tableStyleElement dxfId="1" type="headerRow"/>
      <tableStyleElement dxfId="1" type="firstRowStripe"/>
      <tableStyleElement dxfId="1" type="secondRowStripe"/>
    </tableStyle>
    <tableStyle count="3" pivot="0" name="2020-style 2">
      <tableStyleElement dxfId="1" type="headerRow"/>
      <tableStyleElement dxfId="1" type="firstRowStripe"/>
      <tableStyleElement dxfId="1" type="secondRowStripe"/>
    </tableStyle>
    <tableStyle count="3" pivot="0" name="2019-style">
      <tableStyleElement dxfId="1" type="headerRow"/>
      <tableStyleElement dxfId="1" type="firstRowStripe"/>
      <tableStyleElement dxfId="1" type="secondRowStripe"/>
    </tableStyle>
    <tableStyle count="3" pivot="0" name="2019-style 2">
      <tableStyleElement dxfId="1" type="headerRow"/>
      <tableStyleElement dxfId="1" type="firstRowStripe"/>
      <tableStyleElement dxfId="1" type="secondRowStripe"/>
    </tableStyle>
    <tableStyle count="3" pivot="0" name="2019-style 3">
      <tableStyleElement dxfId="1" type="headerRow"/>
      <tableStyleElement dxfId="1" type="firstRowStripe"/>
      <tableStyleElement dxfId="1" type="secondRowStripe"/>
    </tableStyle>
    <tableStyle count="3" pivot="0" name="2019-style 4">
      <tableStyleElement dxfId="1" type="headerRow"/>
      <tableStyleElement dxfId="1" type="firstRowStripe"/>
      <tableStyleElement dxfId="1" type="secondRowStripe"/>
    </tableStyle>
    <tableStyle count="3" pivot="0" name="2021-style">
      <tableStyleElement dxfId="1" type="headerRow"/>
      <tableStyleElement dxfId="1" type="firstRowStripe"/>
      <tableStyleElement dxfId="1" type="secondRowStripe"/>
    </tableStyle>
    <tableStyle count="3" pivot="0" name="2021-style 2">
      <tableStyleElement dxfId="1" type="headerRow"/>
      <tableStyleElement dxfId="1" type="firstRowStripe"/>
      <tableStyleElement dxfId="1" type="secondRowStripe"/>
    </tableStyle>
    <tableStyle count="3" pivot="0" name="2021-style 3">
      <tableStyleElement dxfId="1" type="headerRow"/>
      <tableStyleElement dxfId="1" type="firstRowStripe"/>
      <tableStyleElement dxfId="1" type="secondRowStripe"/>
    </tableStyle>
    <tableStyle count="3" pivot="0" name="2021-style 4">
      <tableStyleElement dxfId="1" type="headerRow"/>
      <tableStyleElement dxfId="1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23" displayName="Table_1" name="Table_1" id="1">
  <tableColumns count="6">
    <tableColumn name="x" id="1"/>
    <tableColumn name="n" id="2"/>
    <tableColumn name="nKxh" id="3"/>
    <tableColumn name="nKxm" id="4"/>
    <tableColumn name="nDxh" id="5"/>
    <tableColumn name="nDxm" id="6"/>
  </tableColumns>
  <tableStyleInfo name="2010-style" showColumnStripes="0" showFirstColumn="1" showLastColumn="1" showRowStripes="1"/>
</table>
</file>

<file path=xl/tables/table2.xml><?xml version="1.0" encoding="utf-8"?>
<table xmlns="http://schemas.openxmlformats.org/spreadsheetml/2006/main" headerRowCount="0" ref="A1:F1" displayName="Table_2" name="Table_2" id="2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2020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A2:C22" displayName="Table_3" name="Table_3" id="3">
  <tableColumns count="3">
    <tableColumn name="Column1" id="1"/>
    <tableColumn name="Column2" id="2"/>
    <tableColumn name="Column3" id="3"/>
  </tableColumns>
  <tableStyleInfo name="2020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headerRowCount="0" ref="A1:F1" displayName="Table_4" name="Table_4" id="4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2019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headerRowCount="0" ref="A2:C22" displayName="Table_5" name="Table_5" id="5">
  <tableColumns count="3">
    <tableColumn name="Column1" id="1"/>
    <tableColumn name="Column2" id="2"/>
    <tableColumn name="Column3" id="3"/>
  </tableColumns>
  <tableStyleInfo name="2019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headerRowCount="0" ref="A25:F25" displayName="Table_6" name="Table_6" id="6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2019-style 3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headerRowCount="0" ref="A26:C46" displayName="Table_7" name="Table_7" id="7">
  <tableColumns count="3">
    <tableColumn name="Column1" id="1"/>
    <tableColumn name="Column2" id="2"/>
    <tableColumn name="Column3" id="3"/>
  </tableColumns>
  <tableStyleInfo name="2019-style 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8.xml><?xml version="1.0" encoding="utf-8"?>
<table xmlns="http://schemas.openxmlformats.org/spreadsheetml/2006/main" headerRowCount="0" ref="A1:F1" displayName="Table_8" name="Table_8" id="8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2021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9.xml><?xml version="1.0" encoding="utf-8"?>
<table xmlns="http://schemas.openxmlformats.org/spreadsheetml/2006/main" headerRowCount="0" ref="A2:C22" displayName="Table_9" name="Table_9" id="9">
  <tableColumns count="3">
    <tableColumn name="Column1" id="1"/>
    <tableColumn name="Column2" id="2"/>
    <tableColumn name="Column3" id="3"/>
  </tableColumns>
  <tableStyleInfo name="2021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0.xml><?xml version="1.0" encoding="utf-8"?>
<table xmlns="http://schemas.openxmlformats.org/spreadsheetml/2006/main" headerRowCount="0" ref="A25:F25" displayName="Table_10" name="Table_10" id="10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2021-style 3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1.xml><?xml version="1.0" encoding="utf-8"?>
<table xmlns="http://schemas.openxmlformats.org/spreadsheetml/2006/main" headerRowCount="0" ref="A26:C46" displayName="Table_11" name="Table_11" id="11">
  <tableColumns count="3">
    <tableColumn name="Column1" id="1"/>
    <tableColumn name="Column2" id="2"/>
    <tableColumn name="Column3" id="3"/>
  </tableColumns>
  <tableStyleInfo name="2021-style 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2.xml"/><Relationship Id="rId5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9" Type="http://schemas.openxmlformats.org/officeDocument/2006/relationships/table" Target="../tables/table7.xml"/><Relationship Id="rId6" Type="http://schemas.openxmlformats.org/officeDocument/2006/relationships/table" Target="../tables/table4.xml"/><Relationship Id="rId7" Type="http://schemas.openxmlformats.org/officeDocument/2006/relationships/table" Target="../tables/table5.xml"/><Relationship Id="rId8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9" Type="http://schemas.openxmlformats.org/officeDocument/2006/relationships/table" Target="../tables/table11.xml"/><Relationship Id="rId6" Type="http://schemas.openxmlformats.org/officeDocument/2006/relationships/table" Target="../tables/table8.xml"/><Relationship Id="rId7" Type="http://schemas.openxmlformats.org/officeDocument/2006/relationships/table" Target="../tables/table9.xml"/><Relationship Id="rId8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>
        <v>0.0</v>
      </c>
      <c r="B2" s="3">
        <v>1.0</v>
      </c>
      <c r="C2" s="4">
        <v>14024.0</v>
      </c>
      <c r="D2" s="5">
        <v>13487.0</v>
      </c>
      <c r="E2" s="6">
        <v>238.0</v>
      </c>
      <c r="F2" s="6">
        <v>183.0</v>
      </c>
    </row>
    <row r="3">
      <c r="A3" s="2">
        <v>1.0</v>
      </c>
      <c r="B3" s="3">
        <v>4.0</v>
      </c>
      <c r="C3" s="4">
        <v>44956.0</v>
      </c>
      <c r="D3" s="5">
        <v>43606.0</v>
      </c>
      <c r="E3" s="6">
        <v>28.0</v>
      </c>
      <c r="F3" s="6">
        <v>28.0</v>
      </c>
    </row>
    <row r="4">
      <c r="A4" s="2">
        <v>5.0</v>
      </c>
      <c r="B4" s="3">
        <v>5.0</v>
      </c>
      <c r="C4" s="4">
        <v>62673.0</v>
      </c>
      <c r="D4" s="5">
        <v>60657.0</v>
      </c>
      <c r="E4" s="6">
        <v>20.0</v>
      </c>
      <c r="F4" s="6">
        <v>13.0</v>
      </c>
    </row>
    <row r="5">
      <c r="A5" s="2">
        <v>10.0</v>
      </c>
      <c r="B5" s="3">
        <v>5.0</v>
      </c>
      <c r="C5" s="4">
        <v>59970.0</v>
      </c>
      <c r="D5" s="5">
        <v>58664.0</v>
      </c>
      <c r="E5" s="6">
        <v>26.0</v>
      </c>
      <c r="F5" s="6">
        <v>23.0</v>
      </c>
    </row>
    <row r="6">
      <c r="A6" s="2">
        <v>15.0</v>
      </c>
      <c r="B6" s="3">
        <v>5.0</v>
      </c>
      <c r="C6" s="4">
        <v>59831.0</v>
      </c>
      <c r="D6" s="5">
        <v>59341.0</v>
      </c>
      <c r="E6" s="6">
        <v>62.0</v>
      </c>
      <c r="F6" s="6">
        <v>45.0</v>
      </c>
    </row>
    <row r="7">
      <c r="A7" s="2">
        <v>20.0</v>
      </c>
      <c r="B7" s="3">
        <v>5.0</v>
      </c>
      <c r="C7" s="4">
        <v>50406.0</v>
      </c>
      <c r="D7" s="5">
        <v>54375.0</v>
      </c>
      <c r="E7" s="6">
        <v>64.0</v>
      </c>
      <c r="F7" s="6">
        <v>20.0</v>
      </c>
    </row>
    <row r="8">
      <c r="A8" s="2">
        <v>25.0</v>
      </c>
      <c r="B8" s="3">
        <v>5.0</v>
      </c>
      <c r="C8" s="4">
        <v>43235.0</v>
      </c>
      <c r="D8" s="5">
        <v>50485.0</v>
      </c>
      <c r="E8" s="6">
        <v>79.0</v>
      </c>
      <c r="F8" s="6">
        <v>30.0</v>
      </c>
    </row>
    <row r="9">
      <c r="A9" s="2">
        <v>30.0</v>
      </c>
      <c r="B9" s="3">
        <v>5.0</v>
      </c>
      <c r="C9" s="4">
        <v>41672.0</v>
      </c>
      <c r="D9" s="5">
        <v>48940.0</v>
      </c>
      <c r="E9" s="6">
        <v>75.0</v>
      </c>
      <c r="F9" s="6">
        <v>26.0</v>
      </c>
    </row>
    <row r="10">
      <c r="A10" s="2">
        <v>35.0</v>
      </c>
      <c r="B10" s="3">
        <v>5.0</v>
      </c>
      <c r="C10" s="4">
        <v>39297.0</v>
      </c>
      <c r="D10" s="5">
        <v>45263.0</v>
      </c>
      <c r="E10" s="6">
        <v>94.0</v>
      </c>
      <c r="F10" s="6">
        <v>40.0</v>
      </c>
    </row>
    <row r="11">
      <c r="A11" s="2">
        <v>40.0</v>
      </c>
      <c r="B11" s="3">
        <v>5.0</v>
      </c>
      <c r="C11" s="4">
        <v>33139.0</v>
      </c>
      <c r="D11" s="5">
        <v>37891.0</v>
      </c>
      <c r="E11" s="6">
        <v>125.0</v>
      </c>
      <c r="F11" s="6">
        <v>73.0</v>
      </c>
    </row>
    <row r="12">
      <c r="A12" s="2">
        <v>45.0</v>
      </c>
      <c r="B12" s="3">
        <v>5.0</v>
      </c>
      <c r="C12" s="4">
        <v>27512.0</v>
      </c>
      <c r="D12" s="5">
        <v>31310.0</v>
      </c>
      <c r="E12" s="6">
        <v>115.0</v>
      </c>
      <c r="F12" s="6">
        <v>86.0</v>
      </c>
    </row>
    <row r="13">
      <c r="A13" s="2">
        <v>50.0</v>
      </c>
      <c r="B13" s="3">
        <v>5.0</v>
      </c>
      <c r="C13" s="4">
        <v>23079.0</v>
      </c>
      <c r="D13" s="5">
        <v>26283.0</v>
      </c>
      <c r="E13" s="6">
        <v>151.0</v>
      </c>
      <c r="F13" s="6">
        <v>116.0</v>
      </c>
    </row>
    <row r="14">
      <c r="A14" s="2">
        <v>55.0</v>
      </c>
      <c r="B14" s="3">
        <v>5.0</v>
      </c>
      <c r="C14" s="4">
        <v>17210.0</v>
      </c>
      <c r="D14" s="5">
        <v>18961.0</v>
      </c>
      <c r="E14" s="6">
        <v>174.0</v>
      </c>
      <c r="F14" s="6">
        <v>122.0</v>
      </c>
    </row>
    <row r="15">
      <c r="A15" s="2">
        <v>60.0</v>
      </c>
      <c r="B15" s="3">
        <v>5.0</v>
      </c>
      <c r="C15" s="4">
        <v>13597.0</v>
      </c>
      <c r="D15" s="5">
        <v>14933.0</v>
      </c>
      <c r="E15" s="6">
        <v>187.0</v>
      </c>
      <c r="F15" s="6">
        <v>167.0</v>
      </c>
    </row>
    <row r="16">
      <c r="A16" s="2">
        <v>65.0</v>
      </c>
      <c r="B16" s="3">
        <v>5.0</v>
      </c>
      <c r="C16" s="4">
        <v>10353.0</v>
      </c>
      <c r="D16" s="5">
        <v>11644.0</v>
      </c>
      <c r="E16" s="6">
        <v>188.0</v>
      </c>
      <c r="F16" s="6">
        <v>196.0</v>
      </c>
    </row>
    <row r="17">
      <c r="A17" s="2">
        <v>70.0</v>
      </c>
      <c r="B17" s="3">
        <v>5.0</v>
      </c>
      <c r="C17" s="4">
        <v>8197.0</v>
      </c>
      <c r="D17" s="5">
        <v>9300.0</v>
      </c>
      <c r="E17" s="6">
        <v>216.0</v>
      </c>
      <c r="F17" s="6">
        <v>220.0</v>
      </c>
    </row>
    <row r="18">
      <c r="A18" s="2">
        <v>75.0</v>
      </c>
      <c r="B18" s="3">
        <v>5.0</v>
      </c>
      <c r="C18" s="4">
        <v>6108.0</v>
      </c>
      <c r="D18" s="5">
        <v>6901.0</v>
      </c>
      <c r="E18" s="6">
        <v>283.0</v>
      </c>
      <c r="F18" s="6">
        <v>299.0</v>
      </c>
    </row>
    <row r="19">
      <c r="A19" s="2">
        <v>80.0</v>
      </c>
      <c r="B19" s="3">
        <v>5.0</v>
      </c>
      <c r="C19" s="4">
        <v>4056.0</v>
      </c>
      <c r="D19" s="5">
        <v>4685.0</v>
      </c>
      <c r="E19" s="6">
        <v>292.0</v>
      </c>
      <c r="F19" s="6">
        <v>291.0</v>
      </c>
    </row>
    <row r="20">
      <c r="A20" s="2">
        <v>85.0</v>
      </c>
      <c r="B20" s="3">
        <v>5.0</v>
      </c>
      <c r="C20" s="4">
        <v>2493.0</v>
      </c>
      <c r="D20" s="5">
        <v>2984.0</v>
      </c>
      <c r="E20" s="6">
        <v>290.0</v>
      </c>
      <c r="F20" s="6">
        <v>266.0</v>
      </c>
    </row>
    <row r="21">
      <c r="A21" s="2">
        <v>90.0</v>
      </c>
      <c r="B21" s="3">
        <v>5.0</v>
      </c>
      <c r="C21" s="4">
        <v>880.0</v>
      </c>
      <c r="D21" s="5">
        <v>1117.0</v>
      </c>
      <c r="E21" s="6">
        <v>152.0</v>
      </c>
      <c r="F21" s="6">
        <v>173.0</v>
      </c>
    </row>
    <row r="22">
      <c r="A22" s="7" t="s">
        <v>6</v>
      </c>
      <c r="B22" s="8"/>
      <c r="C22" s="4">
        <v>393.0</v>
      </c>
      <c r="D22" s="5">
        <v>588.0</v>
      </c>
      <c r="E22" s="9">
        <v>52.0</v>
      </c>
      <c r="F22" s="9">
        <v>85.0</v>
      </c>
    </row>
    <row r="23">
      <c r="A23" s="10"/>
      <c r="B23" s="8"/>
      <c r="C23" s="8"/>
      <c r="D23" s="11"/>
      <c r="E23" s="12"/>
      <c r="F23" s="12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>
        <v>0.0</v>
      </c>
      <c r="B2" s="13">
        <v>1.0</v>
      </c>
      <c r="C2" s="7">
        <v>11885.0</v>
      </c>
      <c r="D2" s="14">
        <v>11396.0</v>
      </c>
      <c r="E2" s="15">
        <v>139.0</v>
      </c>
      <c r="F2" s="15">
        <v>114.0</v>
      </c>
    </row>
    <row r="3">
      <c r="A3" s="2">
        <v>1.0</v>
      </c>
      <c r="B3" s="13">
        <v>4.0</v>
      </c>
      <c r="C3" s="7">
        <v>43800.0</v>
      </c>
      <c r="D3" s="14">
        <v>43379.0</v>
      </c>
      <c r="E3" s="15">
        <v>23.0</v>
      </c>
      <c r="F3" s="15">
        <v>17.0</v>
      </c>
    </row>
    <row r="4">
      <c r="A4" s="2">
        <v>5.0</v>
      </c>
      <c r="B4" s="13">
        <v>5.0</v>
      </c>
      <c r="C4" s="7">
        <v>59685.0</v>
      </c>
      <c r="D4" s="14">
        <v>58053.0</v>
      </c>
      <c r="E4" s="15">
        <v>14.0</v>
      </c>
      <c r="F4" s="15">
        <v>6.0</v>
      </c>
    </row>
    <row r="5">
      <c r="A5" s="2">
        <v>10.0</v>
      </c>
      <c r="B5" s="13">
        <v>5.0</v>
      </c>
      <c r="C5" s="7">
        <v>60747.0</v>
      </c>
      <c r="D5" s="14">
        <v>58971.0</v>
      </c>
      <c r="E5" s="15">
        <v>10.0</v>
      </c>
      <c r="F5" s="15">
        <v>15.0</v>
      </c>
    </row>
    <row r="6">
      <c r="A6" s="2">
        <v>15.0</v>
      </c>
      <c r="B6" s="13">
        <v>5.0</v>
      </c>
      <c r="C6" s="7">
        <v>61532.0</v>
      </c>
      <c r="D6" s="14">
        <v>59675.0</v>
      </c>
      <c r="E6" s="15">
        <v>56.0</v>
      </c>
      <c r="F6" s="15">
        <v>32.0</v>
      </c>
    </row>
    <row r="7">
      <c r="A7" s="2">
        <v>20.0</v>
      </c>
      <c r="B7" s="13">
        <v>5.0</v>
      </c>
      <c r="C7" s="7">
        <v>56738.0</v>
      </c>
      <c r="D7" s="14">
        <v>57199.0</v>
      </c>
      <c r="E7" s="15">
        <v>97.0</v>
      </c>
      <c r="F7" s="15">
        <v>47.0</v>
      </c>
    </row>
    <row r="8">
      <c r="A8" s="2">
        <v>25.0</v>
      </c>
      <c r="B8" s="13">
        <v>5.0</v>
      </c>
      <c r="C8" s="7">
        <v>50890.0</v>
      </c>
      <c r="D8" s="14">
        <v>53868.0</v>
      </c>
      <c r="E8" s="15">
        <v>149.0</v>
      </c>
      <c r="F8" s="15">
        <v>66.0</v>
      </c>
    </row>
    <row r="9">
      <c r="A9" s="2">
        <v>30.0</v>
      </c>
      <c r="B9" s="13">
        <v>5.0</v>
      </c>
      <c r="C9" s="7">
        <v>45384.0</v>
      </c>
      <c r="D9" s="14">
        <v>51128.0</v>
      </c>
      <c r="E9" s="15">
        <v>163.0</v>
      </c>
      <c r="F9" s="15">
        <v>67.0</v>
      </c>
    </row>
    <row r="10">
      <c r="A10" s="2">
        <v>35.0</v>
      </c>
      <c r="B10" s="13">
        <v>5.0</v>
      </c>
      <c r="C10" s="7">
        <v>43586.0</v>
      </c>
      <c r="D10" s="14">
        <v>51310.0</v>
      </c>
      <c r="E10" s="15">
        <v>205.0</v>
      </c>
      <c r="F10" s="15">
        <v>85.0</v>
      </c>
    </row>
    <row r="11">
      <c r="A11" s="2">
        <v>40.0</v>
      </c>
      <c r="B11" s="13">
        <v>5.0</v>
      </c>
      <c r="C11" s="7">
        <v>41550.0</v>
      </c>
      <c r="D11" s="14">
        <v>47898.0</v>
      </c>
      <c r="E11" s="15">
        <v>303.0</v>
      </c>
      <c r="F11" s="15">
        <v>147.0</v>
      </c>
    </row>
    <row r="12">
      <c r="A12" s="2">
        <v>45.0</v>
      </c>
      <c r="B12" s="13">
        <v>5.0</v>
      </c>
      <c r="C12" s="7">
        <v>37282.0</v>
      </c>
      <c r="D12" s="14">
        <v>43113.0</v>
      </c>
      <c r="E12" s="15">
        <v>425.0</v>
      </c>
      <c r="F12" s="15">
        <v>210.0</v>
      </c>
    </row>
    <row r="13">
      <c r="A13" s="2">
        <v>50.0</v>
      </c>
      <c r="B13" s="13">
        <v>5.0</v>
      </c>
      <c r="C13" s="7">
        <v>32540.0</v>
      </c>
      <c r="D13" s="14">
        <v>38242.0</v>
      </c>
      <c r="E13" s="15">
        <v>535.0</v>
      </c>
      <c r="F13" s="15">
        <v>281.0</v>
      </c>
    </row>
    <row r="14">
      <c r="A14" s="2">
        <v>55.0</v>
      </c>
      <c r="B14" s="13">
        <v>5.0</v>
      </c>
      <c r="C14" s="7">
        <v>26186.0</v>
      </c>
      <c r="D14" s="14">
        <v>30129.0</v>
      </c>
      <c r="E14" s="15">
        <v>595.0</v>
      </c>
      <c r="F14" s="15">
        <v>372.0</v>
      </c>
    </row>
    <row r="15">
      <c r="A15" s="2">
        <v>60.0</v>
      </c>
      <c r="B15" s="13">
        <v>5.0</v>
      </c>
      <c r="C15" s="7">
        <v>21684.0</v>
      </c>
      <c r="D15" s="14">
        <v>24821.0</v>
      </c>
      <c r="E15" s="15">
        <v>795.0</v>
      </c>
      <c r="F15" s="15">
        <v>403.0</v>
      </c>
    </row>
    <row r="16">
      <c r="A16" s="2">
        <v>65.0</v>
      </c>
      <c r="B16" s="13">
        <v>5.0</v>
      </c>
      <c r="C16" s="7">
        <v>15919.0</v>
      </c>
      <c r="D16" s="14">
        <v>18039.0</v>
      </c>
      <c r="E16" s="15">
        <v>685.0</v>
      </c>
      <c r="F16" s="15">
        <v>475.0</v>
      </c>
    </row>
    <row r="17">
      <c r="A17" s="2">
        <v>70.0</v>
      </c>
      <c r="B17" s="13">
        <v>5.0</v>
      </c>
      <c r="C17" s="7">
        <v>11325.0</v>
      </c>
      <c r="D17" s="14">
        <v>13170.0</v>
      </c>
      <c r="E17" s="15">
        <v>673.0</v>
      </c>
      <c r="F17" s="15">
        <v>477.0</v>
      </c>
    </row>
    <row r="18">
      <c r="A18" s="2">
        <v>75.0</v>
      </c>
      <c r="B18" s="13">
        <v>5.0</v>
      </c>
      <c r="C18" s="7">
        <v>8240.0</v>
      </c>
      <c r="D18" s="14">
        <v>9127.0</v>
      </c>
      <c r="E18" s="15">
        <v>663.0</v>
      </c>
      <c r="F18" s="15">
        <v>493.0</v>
      </c>
    </row>
    <row r="19">
      <c r="A19" s="2">
        <v>80.0</v>
      </c>
      <c r="B19" s="13">
        <v>5.0</v>
      </c>
      <c r="C19" s="7">
        <v>5335.0</v>
      </c>
      <c r="D19" s="14">
        <v>6256.0</v>
      </c>
      <c r="E19" s="15">
        <v>599.0</v>
      </c>
      <c r="F19" s="15">
        <v>564.0</v>
      </c>
    </row>
    <row r="20">
      <c r="A20" s="2">
        <v>85.0</v>
      </c>
      <c r="B20" s="13">
        <v>5.0</v>
      </c>
      <c r="C20" s="7">
        <v>3225.0</v>
      </c>
      <c r="D20" s="14">
        <v>4100.0</v>
      </c>
      <c r="E20" s="16">
        <v>485.0</v>
      </c>
      <c r="F20" s="16">
        <v>487.0</v>
      </c>
    </row>
    <row r="21">
      <c r="A21" s="2">
        <v>90.0</v>
      </c>
      <c r="B21" s="13">
        <v>5.0</v>
      </c>
      <c r="C21" s="7">
        <v>1353.0</v>
      </c>
      <c r="D21" s="14">
        <v>1864.0</v>
      </c>
      <c r="E21" s="16">
        <v>329.0</v>
      </c>
      <c r="F21" s="16">
        <v>384.0</v>
      </c>
    </row>
    <row r="22">
      <c r="A22" s="7" t="s">
        <v>6</v>
      </c>
      <c r="B22" s="7"/>
      <c r="C22" s="7">
        <v>589.0</v>
      </c>
      <c r="D22" s="14">
        <v>839.0</v>
      </c>
      <c r="E22" s="16">
        <v>146.0</v>
      </c>
      <c r="F22" s="16">
        <v>202.0</v>
      </c>
    </row>
  </sheetData>
  <drawing r:id="rId1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>
        <v>0.0</v>
      </c>
      <c r="B2" s="13">
        <v>1.0</v>
      </c>
      <c r="C2" s="17">
        <f>'2010'!C2 * EXP( (LN('2020'!C2 / '2010'!C2) / 9.72) * 9.02 )</f>
        <v>12027.49555</v>
      </c>
      <c r="D2" s="17">
        <f>'2010'!D2 * EXP( (LN('2020'!D2 / '2010'!D2) / 9.72) * 9.02 )</f>
        <v>11535.10029</v>
      </c>
      <c r="E2" s="17">
        <f>'2010'!E2 * EXP( (LN('2020'!E2 / '2010'!E2) / 9.72) * 9.02 )</f>
        <v>144.4891114</v>
      </c>
      <c r="F2" s="17">
        <f>'2010'!F2 * EXP( (LN('2020'!F2 / '2010'!F2) / 9.72) * 9.02 )</f>
        <v>117.9526124</v>
      </c>
    </row>
    <row r="3">
      <c r="A3" s="2">
        <v>1.0</v>
      </c>
      <c r="B3" s="13">
        <v>4.0</v>
      </c>
      <c r="C3" s="17">
        <f>'2010'!C3 * EXP( (LN('2020'!C3 / '2010'!C3) / 9.72) * 9.02 )</f>
        <v>43882.2485</v>
      </c>
      <c r="D3" s="17">
        <f>'2010'!D3 * EXP( (LN('2020'!D3 / '2010'!D3) / 9.72) * 9.02 )</f>
        <v>43395.30818</v>
      </c>
      <c r="E3" s="17">
        <f>'2010'!E3 * EXP( (LN('2020'!E3 / '2010'!E3) / 9.72) * 9.02 )</f>
        <v>23.32814555</v>
      </c>
      <c r="F3" s="17">
        <f>'2010'!F3 * EXP( (LN('2020'!F3 / '2010'!F3) / 9.72) * 9.02 )</f>
        <v>17.6220141</v>
      </c>
    </row>
    <row r="4">
      <c r="A4" s="2">
        <v>5.0</v>
      </c>
      <c r="B4" s="13">
        <v>5.0</v>
      </c>
      <c r="C4" s="17">
        <f>'2010'!C4 * EXP( (LN('2020'!C4 / '2010'!C4) / 9.72) * 9.02 )</f>
        <v>59895.34185</v>
      </c>
      <c r="D4" s="17">
        <f>'2010'!D4 * EXP( (LN('2020'!D4 / '2010'!D4) / 9.72) * 9.02 )</f>
        <v>58236.7368</v>
      </c>
      <c r="E4" s="17">
        <f>'2010'!E4 * EXP( (LN('2020'!E4 / '2010'!E4) / 9.72) * 9.02 )</f>
        <v>14.3642689</v>
      </c>
      <c r="F4" s="17">
        <f>'2010'!F4 * EXP( (LN('2020'!F4 / '2010'!F4) / 9.72) * 9.02 )</f>
        <v>6.34357106</v>
      </c>
    </row>
    <row r="5">
      <c r="A5" s="2">
        <v>10.0</v>
      </c>
      <c r="B5" s="13">
        <v>5.0</v>
      </c>
      <c r="C5" s="17">
        <f>'2010'!C5 * EXP( (LN('2020'!C5 / '2010'!C5) / 9.72) * 9.02 )</f>
        <v>60690.70836</v>
      </c>
      <c r="D5" s="17">
        <f>'2010'!D5 * EXP( (LN('2020'!D5 / '2010'!D5) / 9.72) * 9.02 )</f>
        <v>58948.83736</v>
      </c>
      <c r="E5" s="17">
        <f>'2010'!E5 * EXP( (LN('2020'!E5 / '2010'!E5) / 9.72) * 9.02 )</f>
        <v>10.7123539</v>
      </c>
      <c r="F5" s="17">
        <f>'2010'!F5 * EXP( (LN('2020'!F5 / '2010'!F5) / 9.72) * 9.02 )</f>
        <v>15.46892552</v>
      </c>
    </row>
    <row r="6">
      <c r="A6" s="2">
        <v>15.0</v>
      </c>
      <c r="B6" s="13">
        <v>5.0</v>
      </c>
      <c r="C6" s="17">
        <f>'2010'!C6 * EXP( (LN('2020'!C6 / '2010'!C6) / 9.72) * 9.02 )</f>
        <v>61407.90024</v>
      </c>
      <c r="D6" s="17">
        <f>'2010'!D6 * EXP( (LN('2020'!D6 / '2010'!D6) / 9.72) * 9.02 )</f>
        <v>59650.88381</v>
      </c>
      <c r="E6" s="17">
        <f>'2010'!E6 * EXP( (LN('2020'!E6 / '2010'!E6) / 9.72) * 9.02 )</f>
        <v>56.41198975</v>
      </c>
      <c r="F6" s="17">
        <f>'2010'!F6 * EXP( (LN('2020'!F6 / '2010'!F6) / 9.72) * 9.02 )</f>
        <v>32.79539893</v>
      </c>
    </row>
    <row r="7">
      <c r="A7" s="2">
        <v>20.0</v>
      </c>
      <c r="B7" s="13">
        <v>5.0</v>
      </c>
      <c r="C7" s="17">
        <f>'2010'!C7 * EXP( (LN('2020'!C7 / '2010'!C7) / 9.72) * 9.02 )</f>
        <v>56256.53358</v>
      </c>
      <c r="D7" s="17">
        <f>'2010'!D7 * EXP( (LN('2020'!D7 / '2010'!D7) / 9.72) * 9.02 )</f>
        <v>56990.81324</v>
      </c>
      <c r="E7" s="17">
        <f>'2010'!E7 * EXP( (LN('2020'!E7 / '2010'!E7) / 9.72) * 9.02 )</f>
        <v>94.13825741</v>
      </c>
      <c r="F7" s="17">
        <f>'2010'!F7 * EXP( (LN('2020'!F7 / '2010'!F7) / 9.72) * 9.02 )</f>
        <v>44.19517559</v>
      </c>
    </row>
    <row r="8">
      <c r="A8" s="2">
        <v>25.0</v>
      </c>
      <c r="B8" s="13">
        <v>5.0</v>
      </c>
      <c r="C8" s="17">
        <f>'2010'!C8 * EXP( (LN('2020'!C8 / '2010'!C8) / 9.72) * 9.02 )</f>
        <v>50296.0527</v>
      </c>
      <c r="D8" s="17">
        <f>'2010'!D8 * EXP( (LN('2020'!D8 / '2010'!D8) / 9.72) * 9.02 )</f>
        <v>53616.96863</v>
      </c>
      <c r="E8" s="17">
        <f>'2010'!E8 * EXP( (LN('2020'!E8 / '2010'!E8) / 9.72) * 9.02 )</f>
        <v>142.3447558</v>
      </c>
      <c r="F8" s="17">
        <f>'2010'!F8 * EXP( (LN('2020'!F8 / '2010'!F8) / 9.72) * 9.02 )</f>
        <v>62.35680657</v>
      </c>
    </row>
    <row r="9">
      <c r="A9" s="2">
        <v>30.0</v>
      </c>
      <c r="B9" s="13">
        <v>5.0</v>
      </c>
      <c r="C9" s="17">
        <f>'2010'!C9 * EXP( (LN('2020'!C9 / '2010'!C9) / 9.72) * 9.02 )</f>
        <v>45105.96243</v>
      </c>
      <c r="D9" s="17">
        <f>'2010'!D9 * EXP( (LN('2020'!D9 / '2010'!D9) / 9.72) * 9.02 )</f>
        <v>50967.21034</v>
      </c>
      <c r="E9" s="17">
        <f>'2010'!E9 * EXP( (LN('2020'!E9 / '2010'!E9) / 9.72) * 9.02 )</f>
        <v>154.1377299</v>
      </c>
      <c r="F9" s="17">
        <f>'2010'!F9 * EXP( (LN('2020'!F9 / '2010'!F9) / 9.72) * 9.02 )</f>
        <v>62.58478013</v>
      </c>
    </row>
    <row r="10">
      <c r="A10" s="2">
        <v>35.0</v>
      </c>
      <c r="B10" s="13">
        <v>5.0</v>
      </c>
      <c r="C10" s="17">
        <f>'2010'!C10 * EXP( (LN('2020'!C10 / '2010'!C10) / 9.72) * 9.02 )</f>
        <v>43262.05703</v>
      </c>
      <c r="D10" s="17">
        <f>'2010'!D10 * EXP( (LN('2020'!D10 / '2010'!D10) / 9.72) * 9.02 )</f>
        <v>50848.72799</v>
      </c>
      <c r="E10" s="17">
        <f>'2010'!E10 * EXP( (LN('2020'!E10 / '2010'!E10) / 9.72) * 9.02 )</f>
        <v>193.8059983</v>
      </c>
      <c r="F10" s="17">
        <f>'2010'!F10 * EXP( (LN('2020'!F10 / '2010'!F10) / 9.72) * 9.02 )</f>
        <v>80.5088631</v>
      </c>
    </row>
    <row r="11">
      <c r="A11" s="2">
        <v>40.0</v>
      </c>
      <c r="B11" s="13">
        <v>5.0</v>
      </c>
      <c r="C11" s="17">
        <f>'2010'!C11 * EXP( (LN('2020'!C11 / '2010'!C11) / 9.72) * 9.02 )</f>
        <v>40878.66778</v>
      </c>
      <c r="D11" s="17">
        <f>'2010'!D11 * EXP( (LN('2020'!D11 / '2010'!D11) / 9.72) * 9.02 )</f>
        <v>47096.37163</v>
      </c>
      <c r="E11" s="17">
        <f>'2010'!E11 * EXP( (LN('2020'!E11 / '2010'!E11) / 9.72) * 9.02 )</f>
        <v>284.2823851</v>
      </c>
      <c r="F11" s="17">
        <f>'2010'!F11 * EXP( (LN('2020'!F11 / '2010'!F11) / 9.72) * 9.02 )</f>
        <v>139.773464</v>
      </c>
    </row>
    <row r="12">
      <c r="A12" s="2">
        <v>45.0</v>
      </c>
      <c r="B12" s="13">
        <v>5.0</v>
      </c>
      <c r="C12" s="17">
        <f>'2010'!C12 * EXP( (LN('2020'!C12 / '2010'!C12) / 9.72) * 9.02 )</f>
        <v>36474.94812</v>
      </c>
      <c r="D12" s="17">
        <f>'2010'!D12 * EXP( (LN('2020'!D12 / '2010'!D12) / 9.72) * 9.02 )</f>
        <v>42131.153</v>
      </c>
      <c r="E12" s="17">
        <f>'2010'!E12 * EXP( (LN('2020'!E12 / '2010'!E12) / 9.72) * 9.02 )</f>
        <v>386.8172445</v>
      </c>
      <c r="F12" s="17">
        <f>'2010'!F12 * EXP( (LN('2020'!F12 / '2010'!F12) / 9.72) * 9.02 )</f>
        <v>196.9232577</v>
      </c>
    </row>
    <row r="13">
      <c r="A13" s="2">
        <v>50.0</v>
      </c>
      <c r="B13" s="13">
        <v>5.0</v>
      </c>
      <c r="C13" s="17">
        <f>'2010'!C13 * EXP( (LN('2020'!C13 / '2010'!C13) / 9.72) * 9.02 )</f>
        <v>31744.80416</v>
      </c>
      <c r="D13" s="17">
        <f>'2010'!D13 * EXP( (LN('2020'!D13 / '2010'!D13) / 9.72) * 9.02 )</f>
        <v>37223.01854</v>
      </c>
      <c r="E13" s="17">
        <f>'2010'!E13 * EXP( (LN('2020'!E13 / '2010'!E13) / 9.72) * 9.02 )</f>
        <v>488.4156898</v>
      </c>
      <c r="F13" s="17">
        <f>'2010'!F13 * EXP( (LN('2020'!F13 / '2010'!F13) / 9.72) * 9.02 )</f>
        <v>263.6538485</v>
      </c>
    </row>
    <row r="14">
      <c r="A14" s="2">
        <v>55.0</v>
      </c>
      <c r="B14" s="13">
        <v>5.0</v>
      </c>
      <c r="C14" s="17">
        <f>'2010'!C14 * EXP( (LN('2020'!C14 / '2010'!C14) / 9.72) * 9.02 )</f>
        <v>25406.29905</v>
      </c>
      <c r="D14" s="17">
        <f>'2010'!D14 * EXP( (LN('2020'!D14 / '2010'!D14) / 9.72) * 9.02 )</f>
        <v>29140.73599</v>
      </c>
      <c r="E14" s="17">
        <f>'2010'!E14 * EXP( (LN('2020'!E14 / '2010'!E14) / 9.72) * 9.02 )</f>
        <v>544.5810193</v>
      </c>
      <c r="F14" s="17">
        <f>'2010'!F14 * EXP( (LN('2020'!F14 / '2010'!F14) / 9.72) * 9.02 )</f>
        <v>343.2999862</v>
      </c>
    </row>
    <row r="15">
      <c r="A15" s="2">
        <v>60.0</v>
      </c>
      <c r="B15" s="13">
        <v>5.0</v>
      </c>
      <c r="C15" s="17">
        <f>'2010'!C15 * EXP( (LN('2020'!C15 / '2010'!C15) / 9.72) * 9.02 )</f>
        <v>20967.27196</v>
      </c>
      <c r="D15" s="17">
        <f>'2010'!D15 * EXP( (LN('2020'!D15 / '2010'!D15) / 9.72) * 9.02 )</f>
        <v>23929.1484</v>
      </c>
      <c r="E15" s="17">
        <f>'2010'!E15 * EXP( (LN('2020'!E15 / '2010'!E15) / 9.72) * 9.02 )</f>
        <v>716.3131846</v>
      </c>
      <c r="F15" s="17">
        <f>'2010'!F15 * EXP( (LN('2020'!F15 / '2010'!F15) / 9.72) * 9.02 )</f>
        <v>378.2268632</v>
      </c>
    </row>
    <row r="16">
      <c r="A16" s="2">
        <v>65.0</v>
      </c>
      <c r="B16" s="13">
        <v>5.0</v>
      </c>
      <c r="C16" s="17">
        <f>'2010'!C16 * EXP( (LN('2020'!C16 / '2010'!C16) / 9.72) * 9.02 )</f>
        <v>15433.32629</v>
      </c>
      <c r="D16" s="17">
        <f>'2010'!D16 * EXP( (LN('2020'!D16 / '2010'!D16) / 9.72) * 9.02 )</f>
        <v>17479.19351</v>
      </c>
      <c r="E16" s="17">
        <f>'2010'!E16 * EXP( (LN('2020'!E16 / '2010'!E16) / 9.72) * 9.02 )</f>
        <v>624.0953865</v>
      </c>
      <c r="F16" s="17">
        <f>'2010'!F16 * EXP( (LN('2020'!F16 / '2010'!F16) / 9.72) * 9.02 )</f>
        <v>445.6642307</v>
      </c>
    </row>
    <row r="17">
      <c r="A17" s="2">
        <v>70.0</v>
      </c>
      <c r="B17" s="13">
        <v>5.0</v>
      </c>
      <c r="C17" s="17">
        <f>'2010'!C17 * EXP( (LN('2020'!C17 / '2010'!C17) / 9.72) * 9.02 )</f>
        <v>11064.41111</v>
      </c>
      <c r="D17" s="17">
        <f>'2010'!D17 * EXP( (LN('2020'!D17 / '2010'!D17) / 9.72) * 9.02 )</f>
        <v>12844.10609</v>
      </c>
      <c r="E17" s="17">
        <f>'2010'!E17 * EXP( (LN('2020'!E17 / '2010'!E17) / 9.72) * 9.02 )</f>
        <v>620.1125563</v>
      </c>
      <c r="F17" s="17">
        <f>'2010'!F17 * EXP( (LN('2020'!F17 / '2010'!F17) / 9.72) * 9.02 )</f>
        <v>451.1427228</v>
      </c>
    </row>
    <row r="18">
      <c r="A18" s="2">
        <v>75.0</v>
      </c>
      <c r="B18" s="13">
        <v>5.0</v>
      </c>
      <c r="C18" s="17">
        <f>'2010'!C18 * EXP( (LN('2020'!C18 / '2010'!C18) / 9.72) * 9.02 )</f>
        <v>8064.232531</v>
      </c>
      <c r="D18" s="17">
        <f>'2010'!D18 * EXP( (LN('2020'!D18 / '2010'!D18) / 9.72) * 9.02 )</f>
        <v>8945.077307</v>
      </c>
      <c r="E18" s="17">
        <f>'2010'!E18 * EXP( (LN('2020'!E18 / '2010'!E18) / 9.72) * 9.02 )</f>
        <v>623.5726973</v>
      </c>
      <c r="F18" s="17">
        <f>'2010'!F18 * EXP( (LN('2020'!F18 / '2010'!F18) / 9.72) * 9.02 )</f>
        <v>475.5615039</v>
      </c>
    </row>
    <row r="19">
      <c r="A19" s="2">
        <v>80.0</v>
      </c>
      <c r="B19" s="13">
        <v>5.0</v>
      </c>
      <c r="C19" s="17">
        <f>'2010'!C19 * EXP( (LN('2020'!C19 / '2010'!C19) / 9.72) * 9.02 )</f>
        <v>5230.724397</v>
      </c>
      <c r="D19" s="17">
        <f>'2010'!D19 * EXP( (LN('2020'!D19 / '2010'!D19) / 9.72) * 9.02 )</f>
        <v>6127.06374</v>
      </c>
      <c r="E19" s="17">
        <f>'2010'!E19 * EXP( (LN('2020'!E19 / '2010'!E19) / 9.72) * 9.02 )</f>
        <v>568.7933627</v>
      </c>
      <c r="F19" s="17">
        <f>'2010'!F19 * EXP( (LN('2020'!F19 / '2010'!F19) / 9.72) * 9.02 )</f>
        <v>537.7526671</v>
      </c>
    </row>
    <row r="20">
      <c r="A20" s="2">
        <v>85.0</v>
      </c>
      <c r="B20" s="13">
        <v>5.0</v>
      </c>
      <c r="C20" s="17">
        <f>'2010'!C20 * EXP( (LN('2020'!C20 / '2010'!C20) / 9.72) * 9.02 )</f>
        <v>3165.758217</v>
      </c>
      <c r="D20" s="17">
        <f>'2010'!D20 * EXP( (LN('2020'!D20 / '2010'!D20) / 9.72) * 9.02 )</f>
        <v>4007.252077</v>
      </c>
      <c r="E20" s="17">
        <f>'2010'!E20 * EXP( (LN('2020'!E20 / '2010'!E20) / 9.72) * 9.02 )</f>
        <v>467.3662128</v>
      </c>
      <c r="F20" s="17">
        <f>'2010'!F20 * EXP( (LN('2020'!F20 / '2010'!F20) / 9.72) * 9.02 )</f>
        <v>466.2448314</v>
      </c>
    </row>
    <row r="21">
      <c r="A21" s="2">
        <v>90.0</v>
      </c>
      <c r="B21" s="13">
        <v>5.0</v>
      </c>
      <c r="C21" s="17">
        <f>'2010'!C21 * EXP( (LN('2020'!C21 / '2010'!C21) / 9.72) * 9.02 )</f>
        <v>1311.728735</v>
      </c>
      <c r="D21" s="17">
        <f>'2010'!D21 * EXP( (LN('2020'!D21 / '2010'!D21) / 9.72) * 9.02 )</f>
        <v>1796.511371</v>
      </c>
      <c r="E21" s="17">
        <f>'2010'!E21 * EXP( (LN('2020'!E21 / '2010'!E21) / 9.72) * 9.02 )</f>
        <v>311.203886</v>
      </c>
      <c r="F21" s="17">
        <f>'2010'!F21 * EXP( (LN('2020'!F21 / '2010'!F21) / 9.72) * 9.02 )</f>
        <v>362.5709425</v>
      </c>
    </row>
    <row r="22">
      <c r="A22" s="7" t="s">
        <v>6</v>
      </c>
      <c r="B22" s="7"/>
      <c r="C22" s="17">
        <f>'2010'!C22 * EXP( (LN('2020'!C22 / '2010'!C22) / 9.72) * 9.02 )</f>
        <v>572.0847416</v>
      </c>
      <c r="D22" s="17">
        <f>'2010'!D22 * EXP( (LN('2020'!D22 / '2010'!D22) / 9.72) * 9.02 )</f>
        <v>817.7936345</v>
      </c>
      <c r="E22" s="17">
        <f>'2010'!E22 * EXP( (LN('2020'!E22 / '2010'!E22) / 9.72) * 9.02 )</f>
        <v>135.5390105</v>
      </c>
      <c r="F22" s="17">
        <f>'2010'!F22 * EXP( (LN('2020'!F22 / '2010'!F22) / 9.72) * 9.02 )</f>
        <v>189.7920625</v>
      </c>
    </row>
    <row r="25">
      <c r="A25" s="1"/>
      <c r="B25" s="1"/>
      <c r="C25" s="1"/>
      <c r="D25" s="1"/>
      <c r="E25" s="1"/>
      <c r="F25" s="1"/>
    </row>
    <row r="26">
      <c r="A26" s="2"/>
      <c r="B26" s="13"/>
      <c r="C26" s="7"/>
      <c r="D26" s="14"/>
      <c r="E26" s="15"/>
      <c r="F26" s="15"/>
    </row>
    <row r="27">
      <c r="A27" s="2"/>
      <c r="B27" s="13"/>
      <c r="C27" s="7"/>
      <c r="D27" s="14"/>
      <c r="E27" s="15"/>
      <c r="F27" s="15"/>
    </row>
    <row r="28">
      <c r="A28" s="2"/>
      <c r="B28" s="13"/>
      <c r="C28" s="7"/>
      <c r="D28" s="14"/>
      <c r="E28" s="15"/>
      <c r="F28" s="15"/>
    </row>
    <row r="29">
      <c r="A29" s="2"/>
      <c r="B29" s="13"/>
      <c r="C29" s="7"/>
      <c r="D29" s="14"/>
      <c r="E29" s="15"/>
      <c r="F29" s="15"/>
    </row>
    <row r="30">
      <c r="A30" s="2"/>
      <c r="B30" s="13"/>
      <c r="C30" s="7"/>
      <c r="D30" s="14"/>
      <c r="E30" s="15"/>
      <c r="F30" s="15"/>
    </row>
    <row r="31">
      <c r="A31" s="2"/>
      <c r="B31" s="13"/>
      <c r="C31" s="7"/>
      <c r="D31" s="14"/>
      <c r="E31" s="15"/>
      <c r="F31" s="15"/>
    </row>
    <row r="32">
      <c r="A32" s="2"/>
      <c r="B32" s="13"/>
      <c r="C32" s="7"/>
      <c r="D32" s="14"/>
      <c r="E32" s="15"/>
      <c r="F32" s="15"/>
    </row>
    <row r="33">
      <c r="A33" s="2"/>
      <c r="B33" s="13"/>
      <c r="C33" s="7"/>
      <c r="D33" s="14"/>
      <c r="E33" s="15"/>
      <c r="F33" s="15"/>
    </row>
    <row r="34">
      <c r="A34" s="2"/>
      <c r="B34" s="13"/>
      <c r="C34" s="7"/>
      <c r="D34" s="14"/>
      <c r="E34" s="15"/>
      <c r="F34" s="15"/>
    </row>
    <row r="35">
      <c r="A35" s="2"/>
      <c r="B35" s="13"/>
      <c r="C35" s="7"/>
      <c r="D35" s="14"/>
      <c r="E35" s="15"/>
      <c r="F35" s="15"/>
    </row>
    <row r="36">
      <c r="A36" s="2"/>
      <c r="B36" s="13"/>
      <c r="C36" s="7"/>
      <c r="D36" s="14"/>
      <c r="E36" s="15"/>
      <c r="F36" s="15"/>
    </row>
    <row r="37">
      <c r="A37" s="2"/>
      <c r="B37" s="13"/>
      <c r="C37" s="7"/>
      <c r="D37" s="14"/>
      <c r="E37" s="15"/>
      <c r="F37" s="15"/>
    </row>
    <row r="38">
      <c r="A38" s="2"/>
      <c r="B38" s="13"/>
      <c r="C38" s="7"/>
      <c r="D38" s="14"/>
      <c r="E38" s="15"/>
      <c r="F38" s="15"/>
    </row>
    <row r="39">
      <c r="A39" s="2"/>
      <c r="B39" s="13"/>
      <c r="C39" s="7"/>
      <c r="D39" s="14"/>
      <c r="E39" s="15"/>
      <c r="F39" s="15"/>
    </row>
    <row r="40">
      <c r="A40" s="2"/>
      <c r="B40" s="13"/>
      <c r="C40" s="7"/>
      <c r="D40" s="14"/>
      <c r="E40" s="15"/>
      <c r="F40" s="15"/>
    </row>
    <row r="41">
      <c r="A41" s="2"/>
      <c r="B41" s="13"/>
      <c r="C41" s="7"/>
      <c r="D41" s="14"/>
      <c r="E41" s="15"/>
      <c r="F41" s="15"/>
    </row>
    <row r="42">
      <c r="A42" s="2"/>
      <c r="B42" s="13"/>
      <c r="C42" s="7"/>
      <c r="D42" s="14"/>
      <c r="E42" s="15"/>
      <c r="F42" s="15"/>
    </row>
    <row r="43">
      <c r="A43" s="2"/>
      <c r="B43" s="13"/>
      <c r="C43" s="7"/>
      <c r="D43" s="14"/>
      <c r="E43" s="15"/>
      <c r="F43" s="15"/>
    </row>
    <row r="44">
      <c r="A44" s="2"/>
      <c r="B44" s="13"/>
      <c r="C44" s="7"/>
      <c r="D44" s="14"/>
      <c r="E44" s="16"/>
      <c r="F44" s="16"/>
    </row>
    <row r="45">
      <c r="A45" s="2"/>
      <c r="B45" s="13"/>
      <c r="C45" s="7"/>
      <c r="D45" s="14"/>
      <c r="E45" s="16"/>
      <c r="F45" s="16"/>
    </row>
    <row r="46">
      <c r="A46" s="7"/>
      <c r="B46" s="7"/>
      <c r="C46" s="7"/>
      <c r="D46" s="14"/>
      <c r="E46" s="16"/>
      <c r="F46" s="16"/>
    </row>
  </sheetData>
  <drawing r:id="rId1"/>
  <tableParts count="4">
    <tablePart r:id="rId6"/>
    <tablePart r:id="rId7"/>
    <tablePart r:id="rId8"/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>
        <v>0.0</v>
      </c>
      <c r="B2" s="13">
        <v>1.0</v>
      </c>
      <c r="C2" s="17">
        <f>'2010'!C2 * EXP( (LN('2020'!C2 / '2010'!C2) / 9.72) * 11.02 )</f>
        <v>11624.82918</v>
      </c>
      <c r="D2" s="17">
        <f>'2010'!D2 * EXP( (LN('2020'!D2 / '2010'!D2) / 9.72) * 11.02 )</f>
        <v>11142.10577</v>
      </c>
      <c r="E2" s="17">
        <f>'2010'!E2 * EXP( (LN('2020'!E2 / '2010'!E2) / 9.72) * 11.02 )</f>
        <v>129.3531661</v>
      </c>
      <c r="F2" s="17">
        <f>'2010'!F2 * EXP( (LN('2020'!F2 / '2010'!F2) / 9.72) * 11.02 )</f>
        <v>107.0074708</v>
      </c>
    </row>
    <row r="3">
      <c r="A3" s="2">
        <v>1.0</v>
      </c>
      <c r="B3" s="13">
        <v>4.0</v>
      </c>
      <c r="C3" s="17">
        <f>'2010'!C3 * EXP( (LN('2020'!C3 / '2010'!C3) / 9.72) * 11.02 )</f>
        <v>43647.66155</v>
      </c>
      <c r="D3" s="17">
        <f>'2010'!D3 * EXP( (LN('2020'!D3 / '2010'!D3) / 9.72) * 11.02 )</f>
        <v>43348.72964</v>
      </c>
      <c r="E3" s="17">
        <f>'2010'!E3 * EXP( (LN('2020'!E3 / '2010'!E3) / 9.72) * 11.02 )</f>
        <v>22.40278376</v>
      </c>
      <c r="F3" s="17">
        <f>'2010'!F3 * EXP( (LN('2020'!F3 / '2010'!F3) / 9.72) * 11.02 )</f>
        <v>15.90249225</v>
      </c>
    </row>
    <row r="4">
      <c r="A4" s="2">
        <v>5.0</v>
      </c>
      <c r="B4" s="13">
        <v>5.0</v>
      </c>
      <c r="C4" s="17">
        <f>'2010'!C4 * EXP( (LN('2020'!C4 / '2010'!C4) / 9.72) * 11.02 )</f>
        <v>59296.32294</v>
      </c>
      <c r="D4" s="17">
        <f>'2010'!D4 * EXP( (LN('2020'!D4 / '2010'!D4) / 9.72) * 11.02 )</f>
        <v>57713.31108</v>
      </c>
      <c r="E4" s="17">
        <f>'2010'!E4 * EXP( (LN('2020'!E4 / '2010'!E4) / 9.72) * 11.02 )</f>
        <v>13.34783088</v>
      </c>
      <c r="F4" s="17">
        <f>'2010'!F4 * EXP( (LN('2020'!F4 / '2010'!F4) / 9.72) * 11.02 )</f>
        <v>5.410542142</v>
      </c>
    </row>
    <row r="5">
      <c r="A5" s="2">
        <v>10.0</v>
      </c>
      <c r="B5" s="13">
        <v>5.0</v>
      </c>
      <c r="C5" s="17">
        <f>'2010'!C5 * EXP( (LN('2020'!C5 / '2010'!C5) / 9.72) * 11.02 )</f>
        <v>60851.68017</v>
      </c>
      <c r="D5" s="17">
        <f>'2010'!D5 * EXP( (LN('2020'!D5 / '2010'!D5) / 9.72) * 11.02 )</f>
        <v>59012.18129</v>
      </c>
      <c r="E5" s="17">
        <f>'2010'!E5 * EXP( (LN('2020'!E5 / '2010'!E5) / 9.72) * 11.02 )</f>
        <v>8.800339959</v>
      </c>
      <c r="F5" s="17">
        <f>'2010'!F5 * EXP( (LN('2020'!F5 / '2010'!F5) / 9.72) * 11.02 )</f>
        <v>14.16652466</v>
      </c>
    </row>
    <row r="6">
      <c r="A6" s="2">
        <v>15.0</v>
      </c>
      <c r="B6" s="13">
        <v>5.0</v>
      </c>
      <c r="C6" s="17">
        <f>'2010'!C6 * EXP( (LN('2020'!C6 / '2010'!C6) / 9.72) * 11.02 )</f>
        <v>61763.13674</v>
      </c>
      <c r="D6" s="17">
        <f>'2010'!D6 * EXP( (LN('2020'!D6 / '2010'!D6) / 9.72) * 11.02 )</f>
        <v>59719.81308</v>
      </c>
      <c r="E6" s="17">
        <f>'2010'!E6 * EXP( (LN('2020'!E6 / '2010'!E6) / 9.72) * 11.02 )</f>
        <v>55.24284219</v>
      </c>
      <c r="F6" s="17">
        <f>'2010'!F6 * EXP( (LN('2020'!F6 / '2010'!F6) / 9.72) * 11.02 )</f>
        <v>30.57365607</v>
      </c>
    </row>
    <row r="7">
      <c r="A7" s="2">
        <v>20.0</v>
      </c>
      <c r="B7" s="13">
        <v>5.0</v>
      </c>
      <c r="C7" s="17">
        <f>'2010'!C7 * EXP( (LN('2020'!C7 / '2010'!C7) / 9.72) * 11.02 )</f>
        <v>57643.11081</v>
      </c>
      <c r="D7" s="17">
        <f>'2010'!D7 * EXP( (LN('2020'!D7 / '2010'!D7) / 9.72) * 11.02 )</f>
        <v>57587.65233</v>
      </c>
      <c r="E7" s="17">
        <f>'2010'!E7 * EXP( (LN('2020'!E7 / '2010'!E7) / 9.72) * 11.02 )</f>
        <v>102.5474707</v>
      </c>
      <c r="F7" s="17">
        <f>'2010'!F7 * EXP( (LN('2020'!F7 / '2010'!F7) / 9.72) * 11.02 )</f>
        <v>52.68976671</v>
      </c>
    </row>
    <row r="8">
      <c r="A8" s="2">
        <v>25.0</v>
      </c>
      <c r="B8" s="13">
        <v>5.0</v>
      </c>
      <c r="C8" s="17">
        <f>'2010'!C8 * EXP( (LN('2020'!C8 / '2010'!C8) / 9.72) * 11.02 )</f>
        <v>52011.71615</v>
      </c>
      <c r="D8" s="17">
        <f>'2010'!D8 * EXP( (LN('2020'!D8 / '2010'!D8) / 9.72) * 11.02 )</f>
        <v>54337.32346</v>
      </c>
      <c r="E8" s="17">
        <f>'2010'!E8 * EXP( (LN('2020'!E8 / '2010'!E8) / 9.72) * 11.02 )</f>
        <v>162.1962806</v>
      </c>
      <c r="F8" s="17">
        <f>'2010'!F8 * EXP( (LN('2020'!F8 / '2010'!F8) / 9.72) * 11.02 )</f>
        <v>73.34005101</v>
      </c>
    </row>
    <row r="9">
      <c r="A9" s="2">
        <v>30.0</v>
      </c>
      <c r="B9" s="13">
        <v>5.0</v>
      </c>
      <c r="C9" s="17">
        <f>'2010'!C9 * EXP( (LN('2020'!C9 / '2010'!C9) / 9.72) * 11.02 )</f>
        <v>45904.91044</v>
      </c>
      <c r="D9" s="17">
        <f>'2010'!D9 * EXP( (LN('2020'!D9 / '2010'!D9) / 9.72) * 11.02 )</f>
        <v>51427.95635</v>
      </c>
      <c r="E9" s="17">
        <f>'2010'!E9 * EXP( (LN('2020'!E9 / '2010'!E9) / 9.72) * 11.02 )</f>
        <v>180.8325133</v>
      </c>
      <c r="F9" s="17">
        <f>'2010'!F9 * EXP( (LN('2020'!F9 / '2010'!F9) / 9.72) * 11.02 )</f>
        <v>76.0426963</v>
      </c>
    </row>
    <row r="10">
      <c r="A10" s="2">
        <v>35.0</v>
      </c>
      <c r="B10" s="13">
        <v>5.0</v>
      </c>
      <c r="C10" s="17">
        <f>'2010'!C10 * EXP( (LN('2020'!C10 / '2010'!C10) / 9.72) * 11.02 )</f>
        <v>44194.05756</v>
      </c>
      <c r="D10" s="17">
        <f>'2010'!D10 * EXP( (LN('2020'!D10 / '2010'!D10) / 9.72) * 11.02 )</f>
        <v>52177.77827</v>
      </c>
      <c r="E10" s="17">
        <f>'2010'!E10 * EXP( (LN('2020'!E10 / '2010'!E10) / 9.72) * 11.02 )</f>
        <v>227.5324523</v>
      </c>
      <c r="F10" s="17">
        <f>'2010'!F10 * EXP( (LN('2020'!F10 / '2010'!F10) / 9.72) * 11.02 )</f>
        <v>94.01594144</v>
      </c>
    </row>
    <row r="11">
      <c r="A11" s="2">
        <v>40.0</v>
      </c>
      <c r="B11" s="13">
        <v>5.0</v>
      </c>
      <c r="C11" s="17">
        <f>'2010'!C11 * EXP( (LN('2020'!C11 / '2010'!C11) / 9.72) * 11.02 )</f>
        <v>42826.14698</v>
      </c>
      <c r="D11" s="17">
        <f>'2010'!D11 * EXP( (LN('2020'!D11 / '2010'!D11) / 9.72) * 11.02 )</f>
        <v>49423.11413</v>
      </c>
      <c r="E11" s="17">
        <f>'2010'!E11 * EXP( (LN('2020'!E11 / '2010'!E11) / 9.72) * 11.02 )</f>
        <v>341.0922782</v>
      </c>
      <c r="F11" s="17">
        <f>'2010'!F11 * EXP( (LN('2020'!F11 / '2010'!F11) / 9.72) * 11.02 )</f>
        <v>161.4265748</v>
      </c>
    </row>
    <row r="12">
      <c r="A12" s="2">
        <v>45.0</v>
      </c>
      <c r="B12" s="13">
        <v>5.0</v>
      </c>
      <c r="C12" s="17">
        <f>'2010'!C12 * EXP( (LN('2020'!C12 / '2010'!C12) / 9.72) * 11.02 )</f>
        <v>38828.48559</v>
      </c>
      <c r="D12" s="17">
        <f>'2010'!D12 * EXP( (LN('2020'!D12 / '2010'!D12) / 9.72) * 11.02 )</f>
        <v>44997.54001</v>
      </c>
      <c r="E12" s="17">
        <f>'2010'!E12 * EXP( (LN('2020'!E12 / '2010'!E12) / 9.72) * 11.02 )</f>
        <v>506.1913192</v>
      </c>
      <c r="F12" s="17">
        <f>'2010'!F12 * EXP( (LN('2020'!F12 / '2010'!F12) / 9.72) * 11.02 )</f>
        <v>236.6328112</v>
      </c>
    </row>
    <row r="13">
      <c r="A13" s="2">
        <v>50.0</v>
      </c>
      <c r="B13" s="13">
        <v>5.0</v>
      </c>
      <c r="C13" s="17">
        <f>'2010'!C13 * EXP( (LN('2020'!C13 / '2010'!C13) / 9.72) * 11.02 )</f>
        <v>34070.01747</v>
      </c>
      <c r="D13" s="17">
        <f>'2010'!D13 * EXP( (LN('2020'!D13 / '2010'!D13) / 9.72) * 11.02 )</f>
        <v>40208.97865</v>
      </c>
      <c r="E13" s="17">
        <f>'2010'!E13 * EXP( (LN('2020'!E13 / '2010'!E13) / 9.72) * 11.02 )</f>
        <v>633.6217953</v>
      </c>
      <c r="F13" s="17">
        <f>'2010'!F13 * EXP( (LN('2020'!F13 / '2010'!F13) / 9.72) * 11.02 )</f>
        <v>316.2988097</v>
      </c>
    </row>
    <row r="14">
      <c r="A14" s="2">
        <v>55.0</v>
      </c>
      <c r="B14" s="13">
        <v>5.0</v>
      </c>
      <c r="C14" s="17">
        <f>'2010'!C14 * EXP( (LN('2020'!C14 / '2010'!C14) / 9.72) * 11.02 )</f>
        <v>27698.05575</v>
      </c>
      <c r="D14" s="17">
        <f>'2010'!D14 * EXP( (LN('2020'!D14 / '2010'!D14) / 9.72) * 11.02 )</f>
        <v>32054.12662</v>
      </c>
      <c r="E14" s="17">
        <f>'2010'!E14 * EXP( (LN('2020'!E14 / '2010'!E14) / 9.72) * 11.02 )</f>
        <v>701.346124</v>
      </c>
      <c r="F14" s="17">
        <f>'2010'!F14 * EXP( (LN('2020'!F14 / '2010'!F14) / 9.72) * 11.02 )</f>
        <v>431.817203</v>
      </c>
    </row>
    <row r="15">
      <c r="A15" s="2">
        <v>60.0</v>
      </c>
      <c r="B15" s="13">
        <v>5.0</v>
      </c>
      <c r="C15" s="17">
        <f>'2010'!C15 * EXP( (LN('2020'!C15 / '2010'!C15) / 9.72) * 11.02 )</f>
        <v>23080.70054</v>
      </c>
      <c r="D15" s="17">
        <f>'2010'!D15 * EXP( (LN('2020'!D15 / '2010'!D15) / 9.72) * 11.02 )</f>
        <v>26566.4208</v>
      </c>
      <c r="E15" s="17">
        <f>'2010'!E15 * EXP( (LN('2020'!E15 / '2010'!E15) / 9.72) * 11.02 )</f>
        <v>964.7819819</v>
      </c>
      <c r="F15" s="17">
        <f>'2010'!F15 * EXP( (LN('2020'!F15 / '2010'!F15) / 9.72) * 11.02 )</f>
        <v>453.3924668</v>
      </c>
    </row>
    <row r="16">
      <c r="A16" s="2">
        <v>65.0</v>
      </c>
      <c r="B16" s="13">
        <v>5.0</v>
      </c>
      <c r="C16" s="17">
        <f>'2010'!C16 * EXP( (LN('2020'!C16 / '2010'!C16) / 9.72) * 11.02 )</f>
        <v>16861.87834</v>
      </c>
      <c r="D16" s="17">
        <f>'2010'!D16 * EXP( (LN('2020'!D16 / '2010'!D16) / 9.72) * 11.02 )</f>
        <v>19126.64196</v>
      </c>
      <c r="E16" s="17">
        <f>'2010'!E16 * EXP( (LN('2020'!E16 / '2010'!E16) / 9.72) * 11.02 )</f>
        <v>814.3154684</v>
      </c>
      <c r="F16" s="17">
        <f>'2010'!F16 * EXP( (LN('2020'!F16 / '2010'!F16) / 9.72) * 11.02 )</f>
        <v>534.6999615</v>
      </c>
    </row>
    <row r="17">
      <c r="A17" s="2">
        <v>70.0</v>
      </c>
      <c r="B17" s="13">
        <v>5.0</v>
      </c>
      <c r="C17" s="17">
        <f>'2010'!C17 * EXP( (LN('2020'!C17 / '2010'!C17) / 9.72) * 11.02 )</f>
        <v>11825.34314</v>
      </c>
      <c r="D17" s="17">
        <f>'2010'!D17 * EXP( (LN('2020'!D17 / '2010'!D17) / 9.72) * 11.02 )</f>
        <v>13797.32838</v>
      </c>
      <c r="E17" s="17">
        <f>'2010'!E17 * EXP( (LN('2020'!E17 / '2010'!E17) / 9.72) * 11.02 )</f>
        <v>783.477179</v>
      </c>
      <c r="F17" s="17">
        <f>'2010'!F17 * EXP( (LN('2020'!F17 / '2010'!F17) / 9.72) * 11.02 )</f>
        <v>529.0167825</v>
      </c>
    </row>
    <row r="18">
      <c r="A18" s="2">
        <v>75.0</v>
      </c>
      <c r="B18" s="13">
        <v>5.0</v>
      </c>
      <c r="C18" s="17">
        <f>'2010'!C18 * EXP( (LN('2020'!C18 / '2010'!C18) / 9.72) * 11.02 )</f>
        <v>8576.652465</v>
      </c>
      <c r="D18" s="17">
        <f>'2010'!D18 * EXP( (LN('2020'!D18 / '2010'!D18) / 9.72) * 11.02 )</f>
        <v>9474.729482</v>
      </c>
      <c r="E18" s="17">
        <f>'2010'!E18 * EXP( (LN('2020'!E18 / '2010'!E18) / 9.72) * 11.02 )</f>
        <v>742.9551974</v>
      </c>
      <c r="F18" s="17">
        <f>'2010'!F18 * EXP( (LN('2020'!F18 / '2010'!F18) / 9.72) * 11.02 )</f>
        <v>527.1000484</v>
      </c>
    </row>
    <row r="19">
      <c r="A19" s="2">
        <v>80.0</v>
      </c>
      <c r="B19" s="13">
        <v>5.0</v>
      </c>
      <c r="C19" s="17">
        <f>'2010'!C19 * EXP( (LN('2020'!C19 / '2010'!C19) / 9.72) * 11.02 )</f>
        <v>5534.20115</v>
      </c>
      <c r="D19" s="17">
        <f>'2010'!D19 * EXP( (LN('2020'!D19 / '2010'!D19) / 9.72) * 11.02 )</f>
        <v>6502.694853</v>
      </c>
      <c r="E19" s="17">
        <f>'2010'!E19 * EXP( (LN('2020'!E19 / '2010'!E19) / 9.72) * 11.02 )</f>
        <v>659.4184563</v>
      </c>
      <c r="F19" s="17">
        <f>'2010'!F19 * EXP( (LN('2020'!F19 / '2010'!F19) / 9.72) * 11.02 )</f>
        <v>616.191238</v>
      </c>
    </row>
    <row r="20">
      <c r="A20" s="2">
        <v>85.0</v>
      </c>
      <c r="B20" s="13">
        <v>5.0</v>
      </c>
      <c r="C20" s="17">
        <f>'2010'!C20 * EXP( (LN('2020'!C20 / '2010'!C20) / 9.72) * 11.02 )</f>
        <v>3337.977377</v>
      </c>
      <c r="D20" s="17">
        <f>'2010'!D20 * EXP( (LN('2020'!D20 / '2010'!D20) / 9.72) * 11.02 )</f>
        <v>4277.978974</v>
      </c>
      <c r="E20" s="17">
        <f>'2010'!E20 * EXP( (LN('2020'!E20 / '2010'!E20) / 9.72) * 11.02 )</f>
        <v>519.532613</v>
      </c>
      <c r="F20" s="17">
        <f>'2010'!F20 * EXP( (LN('2020'!F20 / '2010'!F20) / 9.72) * 11.02 )</f>
        <v>528.0276804</v>
      </c>
    </row>
    <row r="21">
      <c r="A21" s="2">
        <v>90.0</v>
      </c>
      <c r="B21" s="13">
        <v>5.0</v>
      </c>
      <c r="C21" s="17">
        <f>'2010'!C21 * EXP( (LN('2020'!C21 / '2010'!C21) / 9.72) * 11.02 )</f>
        <v>1433.122645</v>
      </c>
      <c r="D21" s="17">
        <f>'2010'!D21 * EXP( (LN('2020'!D21 / '2010'!D21) / 9.72) * 11.02 )</f>
        <v>1996.134461</v>
      </c>
      <c r="E21" s="17">
        <f>'2010'!E21 * EXP( (LN('2020'!E21 / '2010'!E21) / 9.72) * 11.02 )</f>
        <v>364.7938805</v>
      </c>
      <c r="F21" s="17">
        <f>'2010'!F21 * EXP( (LN('2020'!F21 / '2010'!F21) / 9.72) * 11.02 )</f>
        <v>427.2136082</v>
      </c>
    </row>
    <row r="22">
      <c r="A22" s="7" t="s">
        <v>6</v>
      </c>
      <c r="B22" s="7"/>
      <c r="C22" s="17">
        <f>'2010'!C22 * EXP( (LN('2020'!C22 / '2010'!C22) / 9.72) * 11.02 )</f>
        <v>621.7521675</v>
      </c>
      <c r="D22" s="17">
        <f>'2010'!D22 * EXP( (LN('2020'!D22 / '2010'!D22) / 9.72) * 11.02 )</f>
        <v>879.8529846</v>
      </c>
      <c r="E22" s="17">
        <f>'2010'!E22 * EXP( (LN('2020'!E22 / '2010'!E22) / 9.72) * 11.02 )</f>
        <v>167.6167041</v>
      </c>
      <c r="F22" s="17">
        <f>'2010'!F22 * EXP( (LN('2020'!F22 / '2010'!F22) / 9.72) * 11.02 )</f>
        <v>226.7933938</v>
      </c>
    </row>
    <row r="25">
      <c r="A25" s="1"/>
      <c r="B25" s="1"/>
      <c r="C25" s="1"/>
      <c r="D25" s="1"/>
      <c r="E25" s="1"/>
      <c r="F25" s="1"/>
    </row>
    <row r="26">
      <c r="A26" s="2"/>
      <c r="B26" s="13"/>
      <c r="C26" s="7"/>
      <c r="D26" s="14"/>
      <c r="E26" s="15"/>
      <c r="F26" s="15"/>
    </row>
    <row r="27">
      <c r="A27" s="2"/>
      <c r="B27" s="13"/>
      <c r="C27" s="7"/>
      <c r="D27" s="14"/>
      <c r="E27" s="15"/>
      <c r="F27" s="15"/>
    </row>
    <row r="28">
      <c r="A28" s="2"/>
      <c r="B28" s="13"/>
      <c r="C28" s="7"/>
      <c r="D28" s="14"/>
      <c r="E28" s="15"/>
      <c r="F28" s="15"/>
    </row>
    <row r="29">
      <c r="A29" s="2"/>
      <c r="B29" s="13"/>
      <c r="C29" s="7"/>
      <c r="D29" s="14"/>
      <c r="E29" s="15"/>
      <c r="F29" s="15"/>
    </row>
    <row r="30">
      <c r="A30" s="2"/>
      <c r="B30" s="13"/>
      <c r="C30" s="7"/>
      <c r="D30" s="14"/>
      <c r="E30" s="15"/>
      <c r="F30" s="15"/>
    </row>
    <row r="31">
      <c r="A31" s="2"/>
      <c r="B31" s="13"/>
      <c r="C31" s="7"/>
      <c r="D31" s="14"/>
      <c r="E31" s="15"/>
      <c r="F31" s="15"/>
    </row>
    <row r="32">
      <c r="A32" s="2"/>
      <c r="B32" s="13"/>
      <c r="C32" s="7"/>
      <c r="D32" s="14"/>
      <c r="E32" s="15"/>
      <c r="F32" s="15"/>
    </row>
    <row r="33">
      <c r="A33" s="2"/>
      <c r="B33" s="13"/>
      <c r="C33" s="7"/>
      <c r="D33" s="14"/>
      <c r="E33" s="15"/>
      <c r="F33" s="15"/>
    </row>
    <row r="34">
      <c r="A34" s="2"/>
      <c r="B34" s="13"/>
      <c r="C34" s="7"/>
      <c r="D34" s="14"/>
      <c r="E34" s="15"/>
      <c r="F34" s="15"/>
    </row>
    <row r="35">
      <c r="A35" s="2"/>
      <c r="B35" s="13"/>
      <c r="C35" s="7"/>
      <c r="D35" s="14"/>
      <c r="E35" s="15"/>
      <c r="F35" s="15"/>
    </row>
    <row r="36">
      <c r="A36" s="2"/>
      <c r="B36" s="13"/>
      <c r="C36" s="7"/>
      <c r="D36" s="14"/>
      <c r="E36" s="15"/>
      <c r="F36" s="15"/>
    </row>
    <row r="37">
      <c r="A37" s="2"/>
      <c r="B37" s="13"/>
      <c r="C37" s="7"/>
      <c r="D37" s="14"/>
      <c r="E37" s="15"/>
      <c r="F37" s="15"/>
    </row>
    <row r="38">
      <c r="A38" s="2"/>
      <c r="B38" s="13"/>
      <c r="C38" s="7"/>
      <c r="D38" s="14"/>
      <c r="E38" s="15"/>
      <c r="F38" s="15"/>
    </row>
    <row r="39">
      <c r="A39" s="2"/>
      <c r="B39" s="13"/>
      <c r="C39" s="7"/>
      <c r="D39" s="14"/>
      <c r="E39" s="15"/>
      <c r="F39" s="15"/>
    </row>
    <row r="40">
      <c r="A40" s="2"/>
      <c r="B40" s="13"/>
      <c r="C40" s="7"/>
      <c r="D40" s="14"/>
      <c r="E40" s="15"/>
      <c r="F40" s="15"/>
    </row>
    <row r="41">
      <c r="A41" s="2"/>
      <c r="B41" s="13"/>
      <c r="C41" s="7"/>
      <c r="D41" s="14"/>
      <c r="E41" s="15"/>
      <c r="F41" s="15"/>
    </row>
    <row r="42">
      <c r="A42" s="2"/>
      <c r="B42" s="13"/>
      <c r="C42" s="7"/>
      <c r="D42" s="14"/>
      <c r="E42" s="15"/>
      <c r="F42" s="15"/>
    </row>
    <row r="43">
      <c r="A43" s="2"/>
      <c r="B43" s="13"/>
      <c r="C43" s="7"/>
      <c r="D43" s="14"/>
      <c r="E43" s="15"/>
      <c r="F43" s="15"/>
    </row>
    <row r="44">
      <c r="A44" s="2"/>
      <c r="B44" s="13"/>
      <c r="C44" s="7"/>
      <c r="D44" s="14"/>
      <c r="E44" s="16"/>
      <c r="F44" s="16"/>
    </row>
    <row r="45">
      <c r="A45" s="2"/>
      <c r="B45" s="13"/>
      <c r="C45" s="7"/>
      <c r="D45" s="14"/>
      <c r="E45" s="16"/>
      <c r="F45" s="16"/>
    </row>
    <row r="46">
      <c r="A46" s="7"/>
      <c r="B46" s="7"/>
      <c r="C46" s="7"/>
      <c r="D46" s="14"/>
      <c r="E46" s="16"/>
      <c r="F46" s="16"/>
    </row>
  </sheetData>
  <drawing r:id="rId1"/>
  <tableParts count="4">
    <tablePart r:id="rId6"/>
    <tablePart r:id="rId7"/>
    <tablePart r:id="rId8"/>
    <tablePart r:id="rId9"/>
  </tableParts>
</worksheet>
</file>