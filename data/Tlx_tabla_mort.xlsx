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38b5c603fa20ed6f/Documentos/Actuaria UNAM/6to Semestre 2026_2/Demografía/Demography_9219/data/"/>
    </mc:Choice>
  </mc:AlternateContent>
  <xr:revisionPtr revIDLastSave="0" documentId="8_{A3A03DBB-45E5-4209-8A1D-E698ADABD894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2010" sheetId="1" r:id="rId1"/>
    <sheet name="2020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3" i="2" l="1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" i="2"/>
  <c r="V3" i="2"/>
  <c r="V4" i="2"/>
  <c r="V5" i="2"/>
  <c r="V6" i="2"/>
  <c r="V7" i="2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U3" i="2"/>
  <c r="U4" i="2"/>
  <c r="U5" i="2"/>
  <c r="U6" i="2"/>
  <c r="U7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T3" i="2"/>
  <c r="T4" i="2"/>
  <c r="T5" i="2"/>
  <c r="T6" i="2"/>
  <c r="T7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V2" i="2"/>
  <c r="U2" i="2"/>
  <c r="T2" i="2"/>
  <c r="S22" i="2"/>
  <c r="S3" i="2"/>
  <c r="S4" i="2"/>
  <c r="S5" i="2"/>
  <c r="S6" i="2"/>
  <c r="S7" i="2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S21" i="2"/>
  <c r="S2" i="2"/>
  <c r="R3" i="2"/>
  <c r="R4" i="2"/>
  <c r="R5" i="2"/>
  <c r="R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Q3" i="2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" i="2"/>
  <c r="R2" i="2"/>
  <c r="N3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" i="2"/>
  <c r="M22" i="2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" i="2"/>
  <c r="O3" i="2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" i="2"/>
  <c r="L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3" i="2"/>
  <c r="K2" i="2"/>
  <c r="H3" i="2"/>
  <c r="G3" i="2"/>
  <c r="D3" i="2"/>
  <c r="C3" i="2"/>
  <c r="D3" i="1"/>
  <c r="C3" i="1"/>
</calcChain>
</file>

<file path=xl/sharedStrings.xml><?xml version="1.0" encoding="utf-8"?>
<sst xmlns="http://schemas.openxmlformats.org/spreadsheetml/2006/main" count="30" uniqueCount="15">
  <si>
    <t>x</t>
  </si>
  <si>
    <t>n</t>
  </si>
  <si>
    <t>nKxh</t>
  </si>
  <si>
    <t>nKxm</t>
  </si>
  <si>
    <t>nDxh</t>
  </si>
  <si>
    <t>nDxm</t>
  </si>
  <si>
    <t>95+</t>
  </si>
  <si>
    <t>K_hombre</t>
  </si>
  <si>
    <t>K_mujer</t>
  </si>
  <si>
    <t>D_hombre</t>
  </si>
  <si>
    <t>D_mujer</t>
  </si>
  <si>
    <t>r_K_mujer</t>
  </si>
  <si>
    <t>r_K_hombre</t>
  </si>
  <si>
    <t>r_D_hombre</t>
  </si>
  <si>
    <t>r_D_mujer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</si>
</sst>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7" formatCode="0.0000"/>
  </numFmts>
  <fonts count="4" x14ac:knownFonts="1">
    <font>
      <sz val="10"/>
      <color rgb="FF000000"/>
      <name val="Arial"/>
      <scheme val="minor"/>
    </font>
    <font>
      <sz val="11"/>
      <color theme="1"/>
      <name val="Arial"/>
      <scheme val="minor"/>
    </font>
    <font>
      <sz val="11"/>
      <color rgb="FF000000"/>
      <name val="Arial"/>
      <scheme val="minor"/>
    </font>
    <font>
      <sz val="11"/>
      <color theme="1"/>
      <name val="Arial"/>
    </font>
  </fonts>
  <fills count="4">
    <fill>
      <patternFill patternType="none"/>
    </fill>
    <fill>
      <patternFill patternType="gray125"/>
    </fill>
    <fill>
      <patternFill patternType="solid">
        <fgColor rgb="FFE0E0E0"/>
        <bgColor rgb="FFE0E0E0"/>
      </patternFill>
    </fill>
    <fill>
      <patternFill patternType="solid">
        <fgColor rgb="FFFFFFFF"/>
        <bgColor rgb="FF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left" vertical="top"/>
    </xf>
    <xf numFmtId="3" fontId="2" fillId="2" borderId="0" xfId="0" applyNumberFormat="1" applyFont="1" applyFill="1" applyAlignment="1">
      <alignment horizontal="right" vertical="top"/>
    </xf>
    <xf numFmtId="3" fontId="2" fillId="3" borderId="0" xfId="0" applyNumberFormat="1" applyFont="1" applyFill="1" applyAlignment="1">
      <alignment horizontal="right" vertical="top"/>
    </xf>
    <xf numFmtId="0" fontId="1" fillId="0" borderId="0" xfId="0" applyFont="1" applyAlignment="1">
      <alignment horizontal="right" vertical="top"/>
    </xf>
    <xf numFmtId="0" fontId="2" fillId="2" borderId="0" xfId="0" applyFont="1" applyFill="1" applyAlignment="1">
      <alignment horizontal="right" vertical="top"/>
    </xf>
    <xf numFmtId="0" fontId="2" fillId="3" borderId="0" xfId="0" applyFont="1" applyFill="1" applyAlignment="1">
      <alignment horizontal="right" vertical="top"/>
    </xf>
    <xf numFmtId="0" fontId="1" fillId="0" borderId="0" xfId="0" applyFont="1" applyAlignment="1">
      <alignment horizontal="right"/>
    </xf>
    <xf numFmtId="0" fontId="3" fillId="3" borderId="0" xfId="0" applyFont="1" applyFill="1"/>
    <xf numFmtId="0" fontId="3" fillId="3" borderId="0" xfId="0" applyFont="1" applyFill="1" applyAlignment="1">
      <alignment horizontal="right"/>
    </xf>
    <xf numFmtId="0" fontId="3" fillId="0" borderId="0" xfId="0" applyFont="1" applyAlignment="1">
      <alignment horizontal="right" vertical="top"/>
    </xf>
    <xf numFmtId="0" fontId="3" fillId="0" borderId="0" xfId="0" applyFont="1" applyAlignment="1">
      <alignment horizontal="right"/>
    </xf>
    <xf numFmtId="0" fontId="1" fillId="3" borderId="0" xfId="0" applyFont="1" applyFill="1"/>
    <xf numFmtId="0" fontId="1" fillId="3" borderId="0" xfId="0" applyFont="1" applyFill="1" applyAlignment="1">
      <alignment horizontal="right" vertical="top"/>
    </xf>
    <xf numFmtId="0" fontId="1" fillId="3" borderId="0" xfId="0" applyFont="1" applyFill="1" applyAlignment="1">
      <alignment horizontal="right"/>
    </xf>
    <xf numFmtId="1" fontId="3" fillId="3" borderId="0" xfId="0" applyNumberFormat="1" applyFont="1" applyFill="1" applyAlignment="1">
      <alignment horizontal="right"/>
    </xf>
    <xf numFmtId="167" fontId="0" fillId="0" borderId="0" xfId="0" applyNumberFormat="1"/>
    <xf numFmtId="0" fontId="0" fillId="0" borderId="0" xfId="0" applyAlignment="1">
      <alignment horizontal="center"/>
    </xf>
    <xf numFmtId="1" fontId="0" fillId="0" borderId="0" xfId="0" applyNumberFormat="1"/>
  </cellXfs>
  <cellStyles count="1">
    <cellStyle name="Normal" xfId="0" builtinId="0"/>
  </cellStyles>
  <dxfs count="10">
    <dxf>
      <numFmt numFmtId="1" formatCode="0"/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</dxfs>
  <tableStyles count="3">
    <tableStyle name="2010-style" pivot="0" count="3" xr9:uid="{00000000-0011-0000-FFFF-FFFF00000000}">
      <tableStyleElement type="headerRow" dxfId="9"/>
      <tableStyleElement type="firstRowStripe" dxfId="8"/>
      <tableStyleElement type="secondRowStripe" dxfId="7"/>
    </tableStyle>
    <tableStyle name="2020-style" pivot="0" count="3" xr9:uid="{00000000-0011-0000-FFFF-FFFF01000000}">
      <tableStyleElement type="headerRow" dxfId="6"/>
      <tableStyleElement type="firstRowStripe" dxfId="5"/>
      <tableStyleElement type="secondRowStripe" dxfId="4"/>
    </tableStyle>
    <tableStyle name="2020-style 2" pivot="0" count="3" xr9:uid="{00000000-0011-0000-FFFF-FFFF02000000}">
      <tableStyleElement type="headerRow" dxfId="3"/>
      <tableStyleElement type="firstRowStripe" dxfId="2"/>
      <tableStyleElement type="secondRowStripe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F23">
  <tableColumns count="6">
    <tableColumn id="1" xr3:uid="{00000000-0010-0000-0000-000001000000}" name="x"/>
    <tableColumn id="2" xr3:uid="{00000000-0010-0000-0000-000002000000}" name="n"/>
    <tableColumn id="3" xr3:uid="{00000000-0010-0000-0000-000003000000}" name="nKxh"/>
    <tableColumn id="4" xr3:uid="{00000000-0010-0000-0000-000004000000}" name="nKxm"/>
    <tableColumn id="5" xr3:uid="{00000000-0010-0000-0000-000005000000}" name="nDxh"/>
    <tableColumn id="6" xr3:uid="{00000000-0010-0000-0000-000006000000}" name="nDxm"/>
  </tableColumns>
  <tableStyleInfo name="2010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A1:F1" headerRowCount="0">
  <tableColumns count="6">
    <tableColumn id="1" xr3:uid="{00000000-0010-0000-0100-000001000000}" name="Column1"/>
    <tableColumn id="2" xr3:uid="{00000000-0010-0000-0100-000002000000}" name="Column2"/>
    <tableColumn id="3" xr3:uid="{00000000-0010-0000-0100-000003000000}" name="Column3"/>
    <tableColumn id="4" xr3:uid="{00000000-0010-0000-0100-000004000000}" name="Column4"/>
    <tableColumn id="5" xr3:uid="{00000000-0010-0000-0100-000005000000}" name="Column5"/>
    <tableColumn id="6" xr3:uid="{00000000-0010-0000-0100-000006000000}" name="Column6"/>
  </tableColumns>
  <tableStyleInfo name="2020-style" showFirstColumn="1" showLastColumn="1" showRowStripes="1" showColumnStripes="0"/>
  <extLst>
    <ext uri="GoogleSheetsCustomDataVersion1">
      <go:sheetsCustomData xmlns:go="http://customooxmlschemas.google.com/" headerRowCount="1"/>
    </ext>
  </extLst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A2:C22" headerRowCount="0">
  <tableColumns count="3">
    <tableColumn id="1" xr3:uid="{00000000-0010-0000-0200-000001000000}" name="Column1"/>
    <tableColumn id="2" xr3:uid="{00000000-0010-0000-0200-000002000000}" name="Column2"/>
    <tableColumn id="3" xr3:uid="{00000000-0010-0000-0200-000003000000}" name="Column3" dataDxfId="0"/>
  </tableColumns>
  <tableStyleInfo name="2020-style 2" showFirstColumn="1" showLastColumn="1" showRowStripes="1" showColumnStripes="0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F23"/>
  <sheetViews>
    <sheetView topLeftCell="A2" workbookViewId="0">
      <selection activeCell="C29" sqref="B29:C30"/>
    </sheetView>
  </sheetViews>
  <sheetFormatPr defaultColWidth="12.6640625" defaultRowHeight="15.75" customHeight="1" x14ac:dyDescent="0.25"/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25">
      <c r="A2" s="2">
        <v>0</v>
      </c>
      <c r="B2" s="3">
        <v>1</v>
      </c>
      <c r="C2" s="3">
        <v>14024</v>
      </c>
      <c r="D2" s="4">
        <v>13487</v>
      </c>
      <c r="E2" s="5">
        <v>238</v>
      </c>
      <c r="F2" s="5">
        <v>183</v>
      </c>
    </row>
    <row r="3" spans="1:6" x14ac:dyDescent="0.25">
      <c r="A3" s="2">
        <v>1</v>
      </c>
      <c r="B3" s="3">
        <v>4</v>
      </c>
      <c r="C3" s="3">
        <f>58980-14024</f>
        <v>44956</v>
      </c>
      <c r="D3" s="4">
        <f>57093-13487</f>
        <v>43606</v>
      </c>
      <c r="E3" s="5">
        <v>28</v>
      </c>
      <c r="F3" s="5">
        <v>28</v>
      </c>
    </row>
    <row r="4" spans="1:6" x14ac:dyDescent="0.25">
      <c r="A4" s="2">
        <v>5</v>
      </c>
      <c r="B4" s="3">
        <v>5</v>
      </c>
      <c r="C4" s="3">
        <v>62673</v>
      </c>
      <c r="D4" s="4">
        <v>60657</v>
      </c>
      <c r="E4" s="5">
        <v>20</v>
      </c>
      <c r="F4" s="5">
        <v>13</v>
      </c>
    </row>
    <row r="5" spans="1:6" x14ac:dyDescent="0.25">
      <c r="A5" s="2">
        <v>10</v>
      </c>
      <c r="B5" s="3">
        <v>5</v>
      </c>
      <c r="C5" s="3">
        <v>59970</v>
      </c>
      <c r="D5" s="4">
        <v>58664</v>
      </c>
      <c r="E5" s="5">
        <v>26</v>
      </c>
      <c r="F5" s="5">
        <v>23</v>
      </c>
    </row>
    <row r="6" spans="1:6" x14ac:dyDescent="0.25">
      <c r="A6" s="2">
        <v>15</v>
      </c>
      <c r="B6" s="3">
        <v>5</v>
      </c>
      <c r="C6" s="3">
        <v>59831</v>
      </c>
      <c r="D6" s="4">
        <v>59341</v>
      </c>
      <c r="E6" s="5">
        <v>62</v>
      </c>
      <c r="F6" s="5">
        <v>45</v>
      </c>
    </row>
    <row r="7" spans="1:6" x14ac:dyDescent="0.25">
      <c r="A7" s="2">
        <v>20</v>
      </c>
      <c r="B7" s="3">
        <v>5</v>
      </c>
      <c r="C7" s="3">
        <v>50406</v>
      </c>
      <c r="D7" s="4">
        <v>54375</v>
      </c>
      <c r="E7" s="5">
        <v>64</v>
      </c>
      <c r="F7" s="5">
        <v>20</v>
      </c>
    </row>
    <row r="8" spans="1:6" x14ac:dyDescent="0.25">
      <c r="A8" s="2">
        <v>25</v>
      </c>
      <c r="B8" s="3">
        <v>5</v>
      </c>
      <c r="C8" s="3">
        <v>43235</v>
      </c>
      <c r="D8" s="4">
        <v>50485</v>
      </c>
      <c r="E8" s="5">
        <v>79</v>
      </c>
      <c r="F8" s="5">
        <v>30</v>
      </c>
    </row>
    <row r="9" spans="1:6" x14ac:dyDescent="0.25">
      <c r="A9" s="2">
        <v>30</v>
      </c>
      <c r="B9" s="3">
        <v>5</v>
      </c>
      <c r="C9" s="3">
        <v>41672</v>
      </c>
      <c r="D9" s="4">
        <v>48940</v>
      </c>
      <c r="E9" s="5">
        <v>75</v>
      </c>
      <c r="F9" s="5">
        <v>26</v>
      </c>
    </row>
    <row r="10" spans="1:6" x14ac:dyDescent="0.25">
      <c r="A10" s="2">
        <v>35</v>
      </c>
      <c r="B10" s="3">
        <v>5</v>
      </c>
      <c r="C10" s="3">
        <v>39297</v>
      </c>
      <c r="D10" s="4">
        <v>45263</v>
      </c>
      <c r="E10" s="5">
        <v>94</v>
      </c>
      <c r="F10" s="5">
        <v>40</v>
      </c>
    </row>
    <row r="11" spans="1:6" x14ac:dyDescent="0.25">
      <c r="A11" s="2">
        <v>40</v>
      </c>
      <c r="B11" s="3">
        <v>5</v>
      </c>
      <c r="C11" s="3">
        <v>33139</v>
      </c>
      <c r="D11" s="4">
        <v>37891</v>
      </c>
      <c r="E11" s="5">
        <v>125</v>
      </c>
      <c r="F11" s="5">
        <v>73</v>
      </c>
    </row>
    <row r="12" spans="1:6" x14ac:dyDescent="0.25">
      <c r="A12" s="2">
        <v>45</v>
      </c>
      <c r="B12" s="3">
        <v>5</v>
      </c>
      <c r="C12" s="3">
        <v>27512</v>
      </c>
      <c r="D12" s="4">
        <v>31310</v>
      </c>
      <c r="E12" s="5">
        <v>115</v>
      </c>
      <c r="F12" s="5">
        <v>86</v>
      </c>
    </row>
    <row r="13" spans="1:6" x14ac:dyDescent="0.25">
      <c r="A13" s="2">
        <v>50</v>
      </c>
      <c r="B13" s="3">
        <v>5</v>
      </c>
      <c r="C13" s="3">
        <v>23079</v>
      </c>
      <c r="D13" s="4">
        <v>26283</v>
      </c>
      <c r="E13" s="5">
        <v>151</v>
      </c>
      <c r="F13" s="5">
        <v>116</v>
      </c>
    </row>
    <row r="14" spans="1:6" x14ac:dyDescent="0.25">
      <c r="A14" s="2">
        <v>55</v>
      </c>
      <c r="B14" s="3">
        <v>5</v>
      </c>
      <c r="C14" s="3">
        <v>17210</v>
      </c>
      <c r="D14" s="4">
        <v>18961</v>
      </c>
      <c r="E14" s="5">
        <v>174</v>
      </c>
      <c r="F14" s="5">
        <v>122</v>
      </c>
    </row>
    <row r="15" spans="1:6" x14ac:dyDescent="0.25">
      <c r="A15" s="2">
        <v>60</v>
      </c>
      <c r="B15" s="3">
        <v>5</v>
      </c>
      <c r="C15" s="3">
        <v>13597</v>
      </c>
      <c r="D15" s="4">
        <v>14933</v>
      </c>
      <c r="E15" s="5">
        <v>187</v>
      </c>
      <c r="F15" s="5">
        <v>167</v>
      </c>
    </row>
    <row r="16" spans="1:6" x14ac:dyDescent="0.25">
      <c r="A16" s="2">
        <v>65</v>
      </c>
      <c r="B16" s="3">
        <v>5</v>
      </c>
      <c r="C16" s="3">
        <v>10353</v>
      </c>
      <c r="D16" s="4">
        <v>11644</v>
      </c>
      <c r="E16" s="5">
        <v>188</v>
      </c>
      <c r="F16" s="5">
        <v>196</v>
      </c>
    </row>
    <row r="17" spans="1:6" x14ac:dyDescent="0.25">
      <c r="A17" s="2">
        <v>70</v>
      </c>
      <c r="B17" s="3">
        <v>5</v>
      </c>
      <c r="C17" s="3">
        <v>8197</v>
      </c>
      <c r="D17" s="4">
        <v>9300</v>
      </c>
      <c r="E17" s="5">
        <v>216</v>
      </c>
      <c r="F17" s="5">
        <v>220</v>
      </c>
    </row>
    <row r="18" spans="1:6" x14ac:dyDescent="0.25">
      <c r="A18" s="2">
        <v>75</v>
      </c>
      <c r="B18" s="3">
        <v>5</v>
      </c>
      <c r="C18" s="3">
        <v>6108</v>
      </c>
      <c r="D18" s="4">
        <v>6901</v>
      </c>
      <c r="E18" s="5">
        <v>283</v>
      </c>
      <c r="F18" s="5">
        <v>299</v>
      </c>
    </row>
    <row r="19" spans="1:6" x14ac:dyDescent="0.25">
      <c r="A19" s="2">
        <v>80</v>
      </c>
      <c r="B19" s="3">
        <v>5</v>
      </c>
      <c r="C19" s="3">
        <v>4056</v>
      </c>
      <c r="D19" s="4">
        <v>4685</v>
      </c>
      <c r="E19" s="5">
        <v>292</v>
      </c>
      <c r="F19" s="5">
        <v>291</v>
      </c>
    </row>
    <row r="20" spans="1:6" x14ac:dyDescent="0.25">
      <c r="A20" s="2">
        <v>85</v>
      </c>
      <c r="B20" s="3">
        <v>5</v>
      </c>
      <c r="C20" s="3">
        <v>2493</v>
      </c>
      <c r="D20" s="4">
        <v>2984</v>
      </c>
      <c r="E20" s="5">
        <v>290</v>
      </c>
      <c r="F20" s="5">
        <v>266</v>
      </c>
    </row>
    <row r="21" spans="1:6" x14ac:dyDescent="0.25">
      <c r="A21" s="2">
        <v>90</v>
      </c>
      <c r="B21" s="3">
        <v>5</v>
      </c>
      <c r="C21" s="6">
        <v>880</v>
      </c>
      <c r="D21" s="4">
        <v>1117</v>
      </c>
      <c r="E21" s="5">
        <v>152</v>
      </c>
      <c r="F21" s="5">
        <v>173</v>
      </c>
    </row>
    <row r="22" spans="1:6" x14ac:dyDescent="0.25">
      <c r="A22" s="2" t="s">
        <v>6</v>
      </c>
      <c r="B22" s="6"/>
      <c r="C22" s="6">
        <v>393</v>
      </c>
      <c r="D22" s="7">
        <v>588</v>
      </c>
      <c r="E22" s="8">
        <v>52</v>
      </c>
      <c r="F22" s="8">
        <v>85</v>
      </c>
    </row>
    <row r="23" spans="1:6" x14ac:dyDescent="0.25">
      <c r="A23" s="2"/>
      <c r="B23" s="6"/>
      <c r="C23" s="6"/>
      <c r="D23" s="7"/>
      <c r="E23" s="1"/>
      <c r="F23" s="1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V23"/>
  <sheetViews>
    <sheetView tabSelected="1" topLeftCell="H1" workbookViewId="0">
      <selection activeCell="N2" sqref="N2"/>
    </sheetView>
  </sheetViews>
  <sheetFormatPr defaultColWidth="12.6640625" defaultRowHeight="15.75" customHeight="1" x14ac:dyDescent="0.25"/>
  <cols>
    <col min="11" max="12" width="14.33203125" bestFit="1" customWidth="1"/>
    <col min="13" max="13" width="13.33203125" bestFit="1" customWidth="1"/>
    <col min="14" max="14" width="13.77734375" bestFit="1" customWidth="1"/>
    <col min="18" max="18" width="14.6640625" bestFit="1" customWidth="1"/>
  </cols>
  <sheetData>
    <row r="1" spans="1:2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3" t="s">
        <v>2</v>
      </c>
      <c r="H1" s="13" t="s">
        <v>3</v>
      </c>
      <c r="I1" s="13" t="s">
        <v>4</v>
      </c>
      <c r="J1" s="13" t="s">
        <v>5</v>
      </c>
      <c r="K1" s="13" t="s">
        <v>12</v>
      </c>
      <c r="L1" s="13" t="s">
        <v>11</v>
      </c>
      <c r="M1" s="13" t="s">
        <v>13</v>
      </c>
      <c r="N1" s="13" t="s">
        <v>14</v>
      </c>
      <c r="O1" s="13" t="s">
        <v>7</v>
      </c>
      <c r="P1" s="13" t="s">
        <v>8</v>
      </c>
      <c r="Q1" s="13" t="s">
        <v>9</v>
      </c>
      <c r="R1" s="13" t="s">
        <v>10</v>
      </c>
      <c r="S1" s="13" t="s">
        <v>7</v>
      </c>
      <c r="T1" s="13" t="s">
        <v>8</v>
      </c>
      <c r="U1" s="13" t="s">
        <v>9</v>
      </c>
      <c r="V1" s="13" t="s">
        <v>10</v>
      </c>
    </row>
    <row r="2" spans="1:22" x14ac:dyDescent="0.25">
      <c r="A2" s="9">
        <v>0</v>
      </c>
      <c r="B2" s="10">
        <v>1</v>
      </c>
      <c r="C2" s="16">
        <v>11885</v>
      </c>
      <c r="D2" s="10">
        <v>11396</v>
      </c>
      <c r="E2" s="11">
        <v>139</v>
      </c>
      <c r="F2" s="11">
        <v>114</v>
      </c>
      <c r="G2" s="3">
        <v>14024</v>
      </c>
      <c r="H2" s="4">
        <v>13487</v>
      </c>
      <c r="I2" s="14">
        <v>238</v>
      </c>
      <c r="J2" s="14">
        <v>183</v>
      </c>
      <c r="K2" s="17">
        <f>LN(C2/G2) / (2020 - 2010)</f>
        <v>-1.6549304680677616E-2</v>
      </c>
      <c r="L2" s="17">
        <f>LN(D2/H2)/(2020-2010)</f>
        <v>-1.6846384189905868E-2</v>
      </c>
      <c r="M2" s="17">
        <f>LN(E2/I2)/(2020-2010)</f>
        <v>-5.3779674054078283E-2</v>
      </c>
      <c r="N2" s="17">
        <f>LN(F2/J2)/10</f>
        <v>-4.7328770444692539E-2</v>
      </c>
      <c r="O2" s="19">
        <f>G2*EXP(K2*(2019.5-2010))</f>
        <v>11983.7522498705</v>
      </c>
      <c r="P2" s="19">
        <f>H2*EXP(L2*(2019.5-2010))</f>
        <v>11492.396108641586</v>
      </c>
      <c r="Q2" s="19">
        <f>I2*EXP(M2*(2019.5-2010))</f>
        <v>142.78839372370487</v>
      </c>
      <c r="R2" s="19">
        <f>J2*EXP(N2*(2019.5-2010))</f>
        <v>116.72991338080061</v>
      </c>
      <c r="S2" s="19">
        <f>G2*EXP(K2*(2021.5-2010))</f>
        <v>11593.59909654</v>
      </c>
      <c r="T2" s="19">
        <f>H2*EXP(L2*(2021.5-2010))</f>
        <v>11111.635920159615</v>
      </c>
      <c r="U2" s="19">
        <f>I2*EXP(M2*(2021.5-2010))</f>
        <v>128.22729380859386</v>
      </c>
      <c r="V2" s="19">
        <f>J2*EXP(N2*(2021.5-2010))</f>
        <v>106.18738248186033</v>
      </c>
    </row>
    <row r="3" spans="1:22" x14ac:dyDescent="0.25">
      <c r="A3" s="9">
        <v>1</v>
      </c>
      <c r="B3" s="10">
        <v>4</v>
      </c>
      <c r="C3" s="16">
        <f>55685-11885</f>
        <v>43800</v>
      </c>
      <c r="D3" s="10">
        <f>54775-11396</f>
        <v>43379</v>
      </c>
      <c r="E3" s="11">
        <v>23</v>
      </c>
      <c r="F3" s="11">
        <v>17</v>
      </c>
      <c r="G3" s="3">
        <f>58980-14024</f>
        <v>44956</v>
      </c>
      <c r="H3" s="4">
        <f>57093-13487</f>
        <v>43606</v>
      </c>
      <c r="I3" s="14">
        <v>28</v>
      </c>
      <c r="J3" s="14">
        <v>28</v>
      </c>
      <c r="K3" s="17">
        <f>LN(C3/G3) / (2020 - 2010)</f>
        <v>-2.6050416273620232E-3</v>
      </c>
      <c r="L3" s="17">
        <f t="shared" ref="L3:L22" si="0">LN(D3/H3)/(2020-2010)</f>
        <v>-5.2193025305726816E-4</v>
      </c>
      <c r="M3" s="17">
        <f t="shared" ref="M3:M23" si="1">LN(E3/I3)/(2020-2010)</f>
        <v>-1.9671029424605427E-2</v>
      </c>
      <c r="N3" s="17">
        <f t="shared" ref="N3:N22" si="2">LN(F3/J3)/10</f>
        <v>-4.9899116611898789E-2</v>
      </c>
      <c r="O3" s="19">
        <f>G3*EXP(K3*(2019.5-2010))</f>
        <v>43857.087582450353</v>
      </c>
      <c r="P3" s="19">
        <f t="shared" ref="P3:P22" si="3">H3*EXP(L3*(2019.5-2010))</f>
        <v>43390.321883467805</v>
      </c>
      <c r="Q3" s="19">
        <f t="shared" ref="Q3:Q22" si="4">I3*EXP(M3*(2019.5-2010))</f>
        <v>23.227332974159435</v>
      </c>
      <c r="R3" s="19">
        <f t="shared" ref="R3:R22" si="5">J3*EXP(N3*(2019.5-2010))</f>
        <v>17.429477854352051</v>
      </c>
      <c r="S3" s="19">
        <f t="shared" ref="S3:S21" si="6">G3*EXP(K3*(2021.5-2010))</f>
        <v>43629.182722023492</v>
      </c>
      <c r="T3" s="19">
        <f t="shared" ref="T3:T22" si="7">H3*EXP(L3*(2021.5-2010))</f>
        <v>43345.052071900929</v>
      </c>
      <c r="U3" s="19">
        <f t="shared" ref="U3:U22" si="8">I3*EXP(M3*(2021.5-2010))</f>
        <v>22.331264046420038</v>
      </c>
      <c r="V3" s="19">
        <f t="shared" ref="V3:V22" si="9">J3*EXP(N3*(2021.5-2010))</f>
        <v>15.77402609278194</v>
      </c>
    </row>
    <row r="4" spans="1:22" x14ac:dyDescent="0.25">
      <c r="A4" s="9">
        <v>5</v>
      </c>
      <c r="B4" s="10">
        <v>5</v>
      </c>
      <c r="C4" s="16">
        <v>59685</v>
      </c>
      <c r="D4" s="10">
        <v>58053</v>
      </c>
      <c r="E4" s="11">
        <v>14</v>
      </c>
      <c r="F4" s="11">
        <v>6</v>
      </c>
      <c r="G4" s="3">
        <v>62673</v>
      </c>
      <c r="H4" s="4">
        <v>60657</v>
      </c>
      <c r="I4" s="14">
        <v>20</v>
      </c>
      <c r="J4" s="14">
        <v>13</v>
      </c>
      <c r="K4" s="17">
        <f t="shared" ref="K4:K22" si="10">LN(C4/G4) / (2020 - 2010)</f>
        <v>-4.8850000338020319E-3</v>
      </c>
      <c r="L4" s="17">
        <f t="shared" si="0"/>
        <v>-4.3878658658153425E-3</v>
      </c>
      <c r="M4" s="17">
        <f t="shared" si="1"/>
        <v>-3.5667494393873247E-2</v>
      </c>
      <c r="N4" s="17">
        <f t="shared" si="2"/>
        <v>-7.7318988823348173E-2</v>
      </c>
      <c r="O4" s="19">
        <f>G4*EXP(K4*(2019.5-2010))</f>
        <v>59830.958793122583</v>
      </c>
      <c r="P4" s="19">
        <f t="shared" si="3"/>
        <v>58180.504205248144</v>
      </c>
      <c r="Q4" s="19">
        <f t="shared" si="4"/>
        <v>14.251912052157126</v>
      </c>
      <c r="R4" s="19">
        <f t="shared" si="5"/>
        <v>6.2364989775639659</v>
      </c>
      <c r="S4" s="19">
        <f t="shared" si="6"/>
        <v>59249.256564166833</v>
      </c>
      <c r="T4" s="19">
        <f t="shared" si="7"/>
        <v>57672.161510323022</v>
      </c>
      <c r="U4" s="19">
        <f t="shared" si="8"/>
        <v>13.270666697305202</v>
      </c>
      <c r="V4" s="19">
        <f t="shared" si="9"/>
        <v>5.3429663018982261</v>
      </c>
    </row>
    <row r="5" spans="1:22" x14ac:dyDescent="0.25">
      <c r="A5" s="9">
        <v>10</v>
      </c>
      <c r="B5" s="10">
        <v>5</v>
      </c>
      <c r="C5" s="16">
        <v>60747</v>
      </c>
      <c r="D5" s="10">
        <v>58971</v>
      </c>
      <c r="E5" s="11">
        <v>10</v>
      </c>
      <c r="F5" s="11">
        <v>15</v>
      </c>
      <c r="G5" s="3">
        <v>59970</v>
      </c>
      <c r="H5" s="4">
        <v>58664</v>
      </c>
      <c r="I5" s="14">
        <v>26</v>
      </c>
      <c r="J5" s="14">
        <v>23</v>
      </c>
      <c r="K5" s="17">
        <f t="shared" si="10"/>
        <v>1.2873261104823649E-3</v>
      </c>
      <c r="L5" s="17">
        <f t="shared" si="0"/>
        <v>5.2195468522729237E-4</v>
      </c>
      <c r="M5" s="17">
        <f t="shared" si="1"/>
        <v>-9.5551144502743629E-2</v>
      </c>
      <c r="N5" s="17">
        <f t="shared" si="2"/>
        <v>-4.2744401482693963E-2</v>
      </c>
      <c r="O5" s="19">
        <f>G5*EXP(K5*(2019.5-2010))</f>
        <v>60707.911981489495</v>
      </c>
      <c r="P5" s="19">
        <f t="shared" si="3"/>
        <v>58955.61191318708</v>
      </c>
      <c r="Q5" s="19">
        <f t="shared" si="4"/>
        <v>10.489352187366093</v>
      </c>
      <c r="R5" s="19">
        <f t="shared" si="5"/>
        <v>15.324033329815235</v>
      </c>
      <c r="S5" s="19">
        <f t="shared" si="6"/>
        <v>60864.415126034342</v>
      </c>
      <c r="T5" s="19">
        <f t="shared" si="7"/>
        <v>59017.188363428948</v>
      </c>
      <c r="U5" s="19">
        <f t="shared" si="8"/>
        <v>8.6647093207477326</v>
      </c>
      <c r="V5" s="19">
        <f t="shared" si="9"/>
        <v>14.068434486569547</v>
      </c>
    </row>
    <row r="6" spans="1:22" x14ac:dyDescent="0.25">
      <c r="A6" s="9">
        <v>15</v>
      </c>
      <c r="B6" s="10">
        <v>5</v>
      </c>
      <c r="C6" s="16">
        <v>61532</v>
      </c>
      <c r="D6" s="10">
        <v>59675</v>
      </c>
      <c r="E6" s="11">
        <v>56</v>
      </c>
      <c r="F6" s="11">
        <v>32</v>
      </c>
      <c r="G6" s="3">
        <v>59831</v>
      </c>
      <c r="H6" s="4">
        <v>59341</v>
      </c>
      <c r="I6" s="14">
        <v>62</v>
      </c>
      <c r="J6" s="14">
        <v>45</v>
      </c>
      <c r="K6" s="17">
        <f t="shared" si="10"/>
        <v>2.8033443408176672E-3</v>
      </c>
      <c r="L6" s="17">
        <f t="shared" si="0"/>
        <v>5.6127054651154218E-4</v>
      </c>
      <c r="M6" s="17">
        <f t="shared" si="1"/>
        <v>-1.0178269430994235E-2</v>
      </c>
      <c r="N6" s="17">
        <f t="shared" si="2"/>
        <v>-3.4092658697059318E-2</v>
      </c>
      <c r="O6" s="19">
        <f>G6*EXP(K6*(2019.5-2010))</f>
        <v>61445.812725273521</v>
      </c>
      <c r="P6" s="19">
        <f t="shared" si="3"/>
        <v>59658.255439735491</v>
      </c>
      <c r="Q6" s="19">
        <f t="shared" si="4"/>
        <v>56.285717955994713</v>
      </c>
      <c r="R6" s="19">
        <f t="shared" si="5"/>
        <v>32.550158307104184</v>
      </c>
      <c r="S6" s="19">
        <f t="shared" si="6"/>
        <v>61791.287848747284</v>
      </c>
      <c r="T6" s="19">
        <f t="shared" si="7"/>
        <v>59725.261884712418</v>
      </c>
      <c r="U6" s="19">
        <f t="shared" si="8"/>
        <v>55.151518900952269</v>
      </c>
      <c r="V6" s="19">
        <f t="shared" si="9"/>
        <v>30.404691274733043</v>
      </c>
    </row>
    <row r="7" spans="1:22" x14ac:dyDescent="0.25">
      <c r="A7" s="9">
        <v>20</v>
      </c>
      <c r="B7" s="10">
        <v>5</v>
      </c>
      <c r="C7" s="16">
        <v>56738</v>
      </c>
      <c r="D7" s="10">
        <v>57199</v>
      </c>
      <c r="E7" s="11">
        <v>97</v>
      </c>
      <c r="F7" s="11">
        <v>47</v>
      </c>
      <c r="G7" s="3">
        <v>50406</v>
      </c>
      <c r="H7" s="4">
        <v>54375</v>
      </c>
      <c r="I7" s="14">
        <v>64</v>
      </c>
      <c r="J7" s="14">
        <v>20</v>
      </c>
      <c r="K7" s="17">
        <f t="shared" si="10"/>
        <v>1.1833396464675839E-2</v>
      </c>
      <c r="L7" s="17">
        <f t="shared" si="0"/>
        <v>5.0631926306600452E-3</v>
      </c>
      <c r="M7" s="17">
        <f t="shared" si="1"/>
        <v>4.1582789514371096E-2</v>
      </c>
      <c r="N7" s="17">
        <f t="shared" si="2"/>
        <v>8.5441532815606763E-2</v>
      </c>
      <c r="O7" s="19">
        <f>G7*EXP(K7*(2019.5-2010))</f>
        <v>56403.289542522041</v>
      </c>
      <c r="P7" s="19">
        <f t="shared" si="3"/>
        <v>57054.37836140288</v>
      </c>
      <c r="Q7" s="19">
        <f t="shared" si="4"/>
        <v>95.004055840413017</v>
      </c>
      <c r="R7" s="19">
        <f t="shared" si="5"/>
        <v>45.034408697328928</v>
      </c>
      <c r="S7" s="19">
        <f t="shared" si="6"/>
        <v>57754.09609592185</v>
      </c>
      <c r="T7" s="19">
        <f t="shared" si="7"/>
        <v>57635.06815967906</v>
      </c>
      <c r="U7" s="19">
        <f t="shared" si="8"/>
        <v>103.2429721081083</v>
      </c>
      <c r="V7" s="19">
        <f t="shared" si="9"/>
        <v>53.42666152881857</v>
      </c>
    </row>
    <row r="8" spans="1:22" x14ac:dyDescent="0.25">
      <c r="A8" s="9">
        <v>25</v>
      </c>
      <c r="B8" s="10">
        <v>5</v>
      </c>
      <c r="C8" s="16">
        <v>50890</v>
      </c>
      <c r="D8" s="10">
        <v>53868</v>
      </c>
      <c r="E8" s="11">
        <v>149</v>
      </c>
      <c r="F8" s="11">
        <v>66</v>
      </c>
      <c r="G8" s="3">
        <v>43235</v>
      </c>
      <c r="H8" s="4">
        <v>50485</v>
      </c>
      <c r="I8" s="14">
        <v>79</v>
      </c>
      <c r="J8" s="14">
        <v>30</v>
      </c>
      <c r="K8" s="17">
        <f t="shared" si="10"/>
        <v>1.630160881883478E-2</v>
      </c>
      <c r="L8" s="17">
        <f t="shared" si="0"/>
        <v>6.4860347131510997E-3</v>
      </c>
      <c r="M8" s="17">
        <f t="shared" si="1"/>
        <v>6.3449845347843772E-2</v>
      </c>
      <c r="N8" s="17">
        <f t="shared" si="2"/>
        <v>7.8845736036427028E-2</v>
      </c>
      <c r="O8" s="19">
        <f>G8*EXP(K8*(2019.5-2010))</f>
        <v>50476.891434255223</v>
      </c>
      <c r="P8" s="19">
        <f t="shared" si="3"/>
        <v>53693.58810429828</v>
      </c>
      <c r="Q8" s="19">
        <f t="shared" si="4"/>
        <v>144.34718190592901</v>
      </c>
      <c r="R8" s="19">
        <f t="shared" si="5"/>
        <v>63.448710699443332</v>
      </c>
      <c r="S8" s="19">
        <f t="shared" si="6"/>
        <v>52149.722165472456</v>
      </c>
      <c r="T8" s="19">
        <f t="shared" si="7"/>
        <v>54394.642287932773</v>
      </c>
      <c r="U8" s="19">
        <f t="shared" si="8"/>
        <v>163.8778075114347</v>
      </c>
      <c r="V8" s="19">
        <f t="shared" si="9"/>
        <v>74.286062208196384</v>
      </c>
    </row>
    <row r="9" spans="1:22" x14ac:dyDescent="0.25">
      <c r="A9" s="9">
        <v>30</v>
      </c>
      <c r="B9" s="10">
        <v>5</v>
      </c>
      <c r="C9" s="16">
        <v>45384</v>
      </c>
      <c r="D9" s="10">
        <v>51128</v>
      </c>
      <c r="E9" s="11">
        <v>163</v>
      </c>
      <c r="F9" s="11">
        <v>67</v>
      </c>
      <c r="G9" s="3">
        <v>41672</v>
      </c>
      <c r="H9" s="4">
        <v>48940</v>
      </c>
      <c r="I9" s="14">
        <v>75</v>
      </c>
      <c r="J9" s="14">
        <v>26</v>
      </c>
      <c r="K9" s="17">
        <f t="shared" si="10"/>
        <v>8.5330179581375558E-3</v>
      </c>
      <c r="L9" s="17">
        <f t="shared" si="0"/>
        <v>4.3737234333455074E-3</v>
      </c>
      <c r="M9" s="17">
        <f t="shared" si="1"/>
        <v>7.762620872704519E-2</v>
      </c>
      <c r="N9" s="17">
        <f t="shared" si="2"/>
        <v>9.4659608136948403E-2</v>
      </c>
      <c r="O9" s="19">
        <f>G9*EXP(K9*(2019.5-2010))</f>
        <v>45190.781234391397</v>
      </c>
      <c r="P9" s="19">
        <f t="shared" si="3"/>
        <v>51016.312301436999</v>
      </c>
      <c r="Q9" s="19">
        <f t="shared" si="4"/>
        <v>156.79466709171351</v>
      </c>
      <c r="R9" s="19">
        <f t="shared" si="5"/>
        <v>63.902776767032577</v>
      </c>
      <c r="S9" s="19">
        <f t="shared" si="6"/>
        <v>45968.627224976743</v>
      </c>
      <c r="T9" s="19">
        <f t="shared" si="7"/>
        <v>51464.532314939883</v>
      </c>
      <c r="U9" s="19">
        <f t="shared" si="8"/>
        <v>183.12876035043107</v>
      </c>
      <c r="V9" s="19">
        <f t="shared" si="9"/>
        <v>77.221817838906816</v>
      </c>
    </row>
    <row r="10" spans="1:22" x14ac:dyDescent="0.25">
      <c r="A10" s="9">
        <v>35</v>
      </c>
      <c r="B10" s="10">
        <v>5</v>
      </c>
      <c r="C10" s="16">
        <v>43586</v>
      </c>
      <c r="D10" s="10">
        <v>51310</v>
      </c>
      <c r="E10" s="11">
        <v>205</v>
      </c>
      <c r="F10" s="11">
        <v>85</v>
      </c>
      <c r="G10" s="3">
        <v>39297</v>
      </c>
      <c r="H10" s="4">
        <v>45263</v>
      </c>
      <c r="I10" s="14">
        <v>94</v>
      </c>
      <c r="J10" s="14">
        <v>40</v>
      </c>
      <c r="K10" s="17">
        <f t="shared" si="10"/>
        <v>1.0358781778999775E-2</v>
      </c>
      <c r="L10" s="17">
        <f t="shared" si="0"/>
        <v>1.2539574325093797E-2</v>
      </c>
      <c r="M10" s="17">
        <f t="shared" si="1"/>
        <v>7.7971519686840435E-2</v>
      </c>
      <c r="N10" s="17">
        <f t="shared" si="2"/>
        <v>7.5377180237638022E-2</v>
      </c>
      <c r="O10" s="19">
        <f>G10*EXP(K10*(2019.5-2010))</f>
        <v>43360.834681648041</v>
      </c>
      <c r="P10" s="19">
        <f t="shared" si="3"/>
        <v>50989.303620265469</v>
      </c>
      <c r="Q10" s="19">
        <f t="shared" si="4"/>
        <v>197.1617029685367</v>
      </c>
      <c r="R10" s="19">
        <f t="shared" si="5"/>
        <v>81.856086801386084</v>
      </c>
      <c r="S10" s="19">
        <f t="shared" si="6"/>
        <v>44268.535740756728</v>
      </c>
      <c r="T10" s="19">
        <f t="shared" si="7"/>
        <v>52284.242050290326</v>
      </c>
      <c r="U10" s="19">
        <f t="shared" si="8"/>
        <v>230.4346386002758</v>
      </c>
      <c r="V10" s="19">
        <f t="shared" si="9"/>
        <v>95.174973786734981</v>
      </c>
    </row>
    <row r="11" spans="1:22" x14ac:dyDescent="0.25">
      <c r="A11" s="9">
        <v>40</v>
      </c>
      <c r="B11" s="10">
        <v>5</v>
      </c>
      <c r="C11" s="16">
        <v>41550</v>
      </c>
      <c r="D11" s="10">
        <v>47898</v>
      </c>
      <c r="E11" s="11">
        <v>303</v>
      </c>
      <c r="F11" s="11">
        <v>147</v>
      </c>
      <c r="G11" s="3">
        <v>33139</v>
      </c>
      <c r="H11" s="4">
        <v>37891</v>
      </c>
      <c r="I11" s="14">
        <v>125</v>
      </c>
      <c r="J11" s="14">
        <v>73</v>
      </c>
      <c r="K11" s="17">
        <f t="shared" si="10"/>
        <v>2.261866847734027E-2</v>
      </c>
      <c r="L11" s="17">
        <f t="shared" si="0"/>
        <v>2.3436013302156267E-2</v>
      </c>
      <c r="M11" s="17">
        <f t="shared" si="1"/>
        <v>8.8541906820706798E-2</v>
      </c>
      <c r="N11" s="17">
        <f t="shared" si="2"/>
        <v>6.9997314563034513E-2</v>
      </c>
      <c r="O11" s="19">
        <f>G11*EXP(K11*(2019.5-2010))</f>
        <v>41082.744317921752</v>
      </c>
      <c r="P11" s="19">
        <f t="shared" si="3"/>
        <v>47340.00658758873</v>
      </c>
      <c r="Q11" s="19">
        <f t="shared" si="4"/>
        <v>289.87849490576554</v>
      </c>
      <c r="R11" s="19">
        <f t="shared" si="5"/>
        <v>141.9441867808174</v>
      </c>
      <c r="S11" s="19">
        <f t="shared" si="6"/>
        <v>42983.895574408125</v>
      </c>
      <c r="T11" s="19">
        <f t="shared" si="7"/>
        <v>49611.753423608112</v>
      </c>
      <c r="U11" s="19">
        <f t="shared" si="8"/>
        <v>346.03698615291836</v>
      </c>
      <c r="V11" s="19">
        <f t="shared" si="9"/>
        <v>163.27380202870881</v>
      </c>
    </row>
    <row r="12" spans="1:22" x14ac:dyDescent="0.25">
      <c r="A12" s="9">
        <v>45</v>
      </c>
      <c r="B12" s="10">
        <v>5</v>
      </c>
      <c r="C12" s="16">
        <v>37282</v>
      </c>
      <c r="D12" s="10">
        <v>43113</v>
      </c>
      <c r="E12" s="11">
        <v>425</v>
      </c>
      <c r="F12" s="11">
        <v>210</v>
      </c>
      <c r="G12" s="3">
        <v>27512</v>
      </c>
      <c r="H12" s="4">
        <v>31310</v>
      </c>
      <c r="I12" s="14">
        <v>115</v>
      </c>
      <c r="J12" s="14">
        <v>86</v>
      </c>
      <c r="K12" s="17">
        <f t="shared" si="10"/>
        <v>3.0388836331708878E-2</v>
      </c>
      <c r="L12" s="17">
        <f t="shared" si="0"/>
        <v>3.1988704042190515E-2</v>
      </c>
      <c r="M12" s="17">
        <f t="shared" si="1"/>
        <v>0.13071570405611668</v>
      </c>
      <c r="N12" s="17">
        <f t="shared" si="2"/>
        <v>8.9276023446396097E-2</v>
      </c>
      <c r="O12" s="19">
        <f>G12*EXP(K12*(2019.5-2010))</f>
        <v>36719.803641386578</v>
      </c>
      <c r="P12" s="19">
        <f t="shared" si="3"/>
        <v>42428.920786516326</v>
      </c>
      <c r="Q12" s="19">
        <f t="shared" si="4"/>
        <v>398.11118154797038</v>
      </c>
      <c r="R12" s="19">
        <f t="shared" si="5"/>
        <v>200.83215691487422</v>
      </c>
      <c r="S12" s="19">
        <f t="shared" si="6"/>
        <v>39020.763072812624</v>
      </c>
      <c r="T12" s="19">
        <f t="shared" si="7"/>
        <v>45232.128046195794</v>
      </c>
      <c r="U12" s="19">
        <f t="shared" si="8"/>
        <v>517.0619664218633</v>
      </c>
      <c r="V12" s="19">
        <f t="shared" si="9"/>
        <v>240.09185178289647</v>
      </c>
    </row>
    <row r="13" spans="1:22" x14ac:dyDescent="0.25">
      <c r="A13" s="9">
        <v>50</v>
      </c>
      <c r="B13" s="10">
        <v>5</v>
      </c>
      <c r="C13" s="16">
        <v>32540</v>
      </c>
      <c r="D13" s="10">
        <v>38242</v>
      </c>
      <c r="E13" s="11">
        <v>535</v>
      </c>
      <c r="F13" s="11">
        <v>281</v>
      </c>
      <c r="G13" s="3">
        <v>23079</v>
      </c>
      <c r="H13" s="4">
        <v>26283</v>
      </c>
      <c r="I13" s="14">
        <v>151</v>
      </c>
      <c r="J13" s="14">
        <v>116</v>
      </c>
      <c r="K13" s="17">
        <f t="shared" si="10"/>
        <v>3.4354698864598451E-2</v>
      </c>
      <c r="L13" s="17">
        <f t="shared" si="0"/>
        <v>3.7501204571843125E-2</v>
      </c>
      <c r="M13" s="17">
        <f t="shared" si="1"/>
        <v>0.12649869100810823</v>
      </c>
      <c r="N13" s="17">
        <f t="shared" si="2"/>
        <v>8.8476447822738113E-2</v>
      </c>
      <c r="O13" s="19">
        <f>G13*EXP(K13*(2019.5-2010))</f>
        <v>31985.82232753664</v>
      </c>
      <c r="P13" s="19">
        <f t="shared" si="3"/>
        <v>37531.620304077165</v>
      </c>
      <c r="Q13" s="19">
        <f t="shared" si="4"/>
        <v>502.20951912472026</v>
      </c>
      <c r="R13" s="19">
        <f t="shared" si="5"/>
        <v>268.84001030211346</v>
      </c>
      <c r="S13" s="19">
        <f t="shared" si="6"/>
        <v>34260.810504978705</v>
      </c>
      <c r="T13" s="19">
        <f t="shared" si="7"/>
        <v>40454.836144180277</v>
      </c>
      <c r="U13" s="19">
        <f t="shared" si="8"/>
        <v>646.78554787159635</v>
      </c>
      <c r="V13" s="19">
        <f t="shared" si="9"/>
        <v>320.88068013991193</v>
      </c>
    </row>
    <row r="14" spans="1:22" x14ac:dyDescent="0.25">
      <c r="A14" s="9">
        <v>55</v>
      </c>
      <c r="B14" s="10">
        <v>5</v>
      </c>
      <c r="C14" s="16">
        <v>26186</v>
      </c>
      <c r="D14" s="10">
        <v>30129</v>
      </c>
      <c r="E14" s="11">
        <v>595</v>
      </c>
      <c r="F14" s="11">
        <v>372</v>
      </c>
      <c r="G14" s="3">
        <v>17210</v>
      </c>
      <c r="H14" s="4">
        <v>18961</v>
      </c>
      <c r="I14" s="14">
        <v>174</v>
      </c>
      <c r="J14" s="14">
        <v>122</v>
      </c>
      <c r="K14" s="17">
        <f t="shared" si="10"/>
        <v>4.1973430658211353E-2</v>
      </c>
      <c r="L14" s="17">
        <f t="shared" si="0"/>
        <v>4.6310392502724507E-2</v>
      </c>
      <c r="M14" s="17">
        <f t="shared" si="1"/>
        <v>0.12295061063311008</v>
      </c>
      <c r="N14" s="17">
        <f t="shared" si="2"/>
        <v>0.11148728095398899</v>
      </c>
      <c r="O14" s="19">
        <f>G14*EXP(K14*(2019.5-2010))</f>
        <v>25642.168451722082</v>
      </c>
      <c r="P14" s="19">
        <f t="shared" si="3"/>
        <v>29439.372138851773</v>
      </c>
      <c r="Q14" s="19">
        <f t="shared" si="4"/>
        <v>559.52381980796508</v>
      </c>
      <c r="R14" s="19">
        <f t="shared" si="5"/>
        <v>351.83074215225781</v>
      </c>
      <c r="S14" s="19">
        <f t="shared" si="6"/>
        <v>27887.681353956701</v>
      </c>
      <c r="T14" s="19">
        <f t="shared" si="7"/>
        <v>32296.334855795914</v>
      </c>
      <c r="U14" s="19">
        <f t="shared" si="8"/>
        <v>715.50409445959906</v>
      </c>
      <c r="V14" s="19">
        <f t="shared" si="9"/>
        <v>439.71411438431687</v>
      </c>
    </row>
    <row r="15" spans="1:22" x14ac:dyDescent="0.25">
      <c r="A15" s="9">
        <v>60</v>
      </c>
      <c r="B15" s="10">
        <v>5</v>
      </c>
      <c r="C15" s="16">
        <v>21684</v>
      </c>
      <c r="D15" s="10">
        <v>24821</v>
      </c>
      <c r="E15" s="11">
        <v>795</v>
      </c>
      <c r="F15" s="11">
        <v>403</v>
      </c>
      <c r="G15" s="3">
        <v>13597</v>
      </c>
      <c r="H15" s="4">
        <v>14933</v>
      </c>
      <c r="I15" s="14">
        <v>187</v>
      </c>
      <c r="J15" s="14">
        <v>167</v>
      </c>
      <c r="K15" s="17">
        <f t="shared" si="10"/>
        <v>4.667254812245427E-2</v>
      </c>
      <c r="L15" s="17">
        <f t="shared" si="0"/>
        <v>5.0811653997834397E-2</v>
      </c>
      <c r="M15" s="17">
        <f t="shared" si="1"/>
        <v>0.14472334977997453</v>
      </c>
      <c r="N15" s="17">
        <f t="shared" si="2"/>
        <v>8.8094274952992796E-2</v>
      </c>
      <c r="O15" s="19">
        <f>G15*EXP(K15*(2019.5-2010))</f>
        <v>21183.834926065905</v>
      </c>
      <c r="P15" s="19">
        <f t="shared" si="3"/>
        <v>24198.344991778973</v>
      </c>
      <c r="Q15" s="19">
        <f t="shared" si="4"/>
        <v>739.50455356919554</v>
      </c>
      <c r="R15" s="19">
        <f t="shared" si="5"/>
        <v>385.6342666070243</v>
      </c>
      <c r="S15" s="19">
        <f t="shared" si="6"/>
        <v>23256.472574284227</v>
      </c>
      <c r="T15" s="19">
        <f t="shared" si="7"/>
        <v>26786.755029907752</v>
      </c>
      <c r="U15" s="19">
        <f t="shared" si="8"/>
        <v>987.74754053795368</v>
      </c>
      <c r="V15" s="19">
        <f t="shared" si="9"/>
        <v>459.93168812359283</v>
      </c>
    </row>
    <row r="16" spans="1:22" x14ac:dyDescent="0.25">
      <c r="A16" s="9">
        <v>65</v>
      </c>
      <c r="B16" s="10">
        <v>5</v>
      </c>
      <c r="C16" s="16">
        <v>15919</v>
      </c>
      <c r="D16" s="10">
        <v>18039</v>
      </c>
      <c r="E16" s="11">
        <v>685</v>
      </c>
      <c r="F16" s="11">
        <v>475</v>
      </c>
      <c r="G16" s="3">
        <v>10353</v>
      </c>
      <c r="H16" s="4">
        <v>11644</v>
      </c>
      <c r="I16" s="14">
        <v>188</v>
      </c>
      <c r="J16" s="14">
        <v>196</v>
      </c>
      <c r="K16" s="17">
        <f t="shared" si="10"/>
        <v>4.3023703158902284E-2</v>
      </c>
      <c r="L16" s="17">
        <f t="shared" si="0"/>
        <v>4.377450548421645E-2</v>
      </c>
      <c r="M16" s="17">
        <f t="shared" si="1"/>
        <v>0.12929768754322762</v>
      </c>
      <c r="N16" s="17">
        <f t="shared" si="2"/>
        <v>8.8520014480412398E-2</v>
      </c>
      <c r="O16" s="19">
        <f>G16*EXP(K16*(2019.5-2010))</f>
        <v>15580.209900641656</v>
      </c>
      <c r="P16" s="19">
        <f t="shared" si="3"/>
        <v>17648.465303988865</v>
      </c>
      <c r="Q16" s="19">
        <f t="shared" si="4"/>
        <v>642.11665609136605</v>
      </c>
      <c r="R16" s="19">
        <f t="shared" si="5"/>
        <v>454.43495805831077</v>
      </c>
      <c r="S16" s="19">
        <f t="shared" si="6"/>
        <v>16980.216296491617</v>
      </c>
      <c r="T16" s="19">
        <f t="shared" si="7"/>
        <v>19263.225021506438</v>
      </c>
      <c r="U16" s="19">
        <f t="shared" si="8"/>
        <v>831.61148746345418</v>
      </c>
      <c r="V16" s="19">
        <f t="shared" si="9"/>
        <v>542.44940899388666</v>
      </c>
    </row>
    <row r="17" spans="1:22" x14ac:dyDescent="0.25">
      <c r="A17" s="9">
        <v>70</v>
      </c>
      <c r="B17" s="10">
        <v>5</v>
      </c>
      <c r="C17" s="16">
        <v>11325</v>
      </c>
      <c r="D17" s="10">
        <v>13170</v>
      </c>
      <c r="E17" s="11">
        <v>673</v>
      </c>
      <c r="F17" s="11">
        <v>477</v>
      </c>
      <c r="G17" s="3">
        <v>8197</v>
      </c>
      <c r="H17" s="4">
        <v>9300</v>
      </c>
      <c r="I17" s="14">
        <v>216</v>
      </c>
      <c r="J17" s="14">
        <v>220</v>
      </c>
      <c r="K17" s="17">
        <f t="shared" si="10"/>
        <v>3.2324443769820424E-2</v>
      </c>
      <c r="L17" s="17">
        <f t="shared" si="0"/>
        <v>3.4792711559597934E-2</v>
      </c>
      <c r="M17" s="17">
        <f t="shared" si="1"/>
        <v>0.11364669219605628</v>
      </c>
      <c r="N17" s="17">
        <f t="shared" si="2"/>
        <v>7.7388894453597951E-2</v>
      </c>
      <c r="O17" s="19">
        <f>G17*EXP(K17*(2019.5-2010))</f>
        <v>11143.434044118198</v>
      </c>
      <c r="P17" s="19">
        <f t="shared" si="3"/>
        <v>12942.871328000399</v>
      </c>
      <c r="Q17" s="19">
        <f t="shared" si="4"/>
        <v>635.82411957499028</v>
      </c>
      <c r="R17" s="19">
        <f t="shared" si="5"/>
        <v>458.89528356969731</v>
      </c>
      <c r="S17" s="19">
        <f t="shared" si="6"/>
        <v>11887.641570891194</v>
      </c>
      <c r="T17" s="19">
        <f t="shared" si="7"/>
        <v>13875.581700229835</v>
      </c>
      <c r="U17" s="19">
        <f t="shared" si="8"/>
        <v>798.08520739896164</v>
      </c>
      <c r="V17" s="19">
        <f t="shared" si="9"/>
        <v>535.71367642512939</v>
      </c>
    </row>
    <row r="18" spans="1:22" x14ac:dyDescent="0.25">
      <c r="A18" s="9">
        <v>75</v>
      </c>
      <c r="B18" s="10">
        <v>5</v>
      </c>
      <c r="C18" s="16">
        <v>8240</v>
      </c>
      <c r="D18" s="10">
        <v>9127</v>
      </c>
      <c r="E18" s="11">
        <v>663</v>
      </c>
      <c r="F18" s="11">
        <v>493</v>
      </c>
      <c r="G18" s="3">
        <v>6108</v>
      </c>
      <c r="H18" s="4">
        <v>6901</v>
      </c>
      <c r="I18" s="14">
        <v>283</v>
      </c>
      <c r="J18" s="14">
        <v>299</v>
      </c>
      <c r="K18" s="17">
        <f t="shared" si="10"/>
        <v>2.9940095656499431E-2</v>
      </c>
      <c r="L18" s="17">
        <f t="shared" si="0"/>
        <v>2.7957072489627543E-2</v>
      </c>
      <c r="M18" s="17">
        <f t="shared" si="1"/>
        <v>8.5132809254262504E-2</v>
      </c>
      <c r="N18" s="17">
        <f t="shared" si="2"/>
        <v>5.0006560065200364E-2</v>
      </c>
      <c r="O18" s="19">
        <f>G18*EXP(K18*(2019.5-2010))</f>
        <v>8117.5655174045778</v>
      </c>
      <c r="P18" s="19">
        <f t="shared" si="3"/>
        <v>9000.3054647670633</v>
      </c>
      <c r="Q18" s="19">
        <f t="shared" si="4"/>
        <v>635.3706856860266</v>
      </c>
      <c r="R18" s="19">
        <f t="shared" si="5"/>
        <v>480.8262095017393</v>
      </c>
      <c r="S18" s="19">
        <f t="shared" si="6"/>
        <v>8618.4951029164331</v>
      </c>
      <c r="T18" s="19">
        <f t="shared" si="7"/>
        <v>9517.8850191642723</v>
      </c>
      <c r="U18" s="19">
        <f t="shared" si="8"/>
        <v>753.30802211189769</v>
      </c>
      <c r="V18" s="19">
        <f t="shared" si="9"/>
        <v>531.40211540918324</v>
      </c>
    </row>
    <row r="19" spans="1:22" x14ac:dyDescent="0.25">
      <c r="A19" s="9">
        <v>80</v>
      </c>
      <c r="B19" s="10">
        <v>5</v>
      </c>
      <c r="C19" s="16">
        <v>5335</v>
      </c>
      <c r="D19" s="10">
        <v>6256</v>
      </c>
      <c r="E19" s="11">
        <v>599</v>
      </c>
      <c r="F19" s="11">
        <v>564</v>
      </c>
      <c r="G19" s="3">
        <v>4056</v>
      </c>
      <c r="H19" s="4">
        <v>4685</v>
      </c>
      <c r="I19" s="14">
        <v>292</v>
      </c>
      <c r="J19" s="14">
        <v>291</v>
      </c>
      <c r="K19" s="17">
        <f t="shared" si="10"/>
        <v>2.7409161846483465E-2</v>
      </c>
      <c r="L19" s="17">
        <f t="shared" si="0"/>
        <v>2.8917508755262444E-2</v>
      </c>
      <c r="M19" s="17">
        <f t="shared" si="1"/>
        <v>7.1850779584716751E-2</v>
      </c>
      <c r="N19" s="17">
        <f t="shared" si="2"/>
        <v>6.6173098432656646E-2</v>
      </c>
      <c r="O19" s="19">
        <f>G19*EXP(K19*(2019.5-2010))</f>
        <v>5262.3847778870531</v>
      </c>
      <c r="P19" s="19">
        <f t="shared" si="3"/>
        <v>6166.1968181702987</v>
      </c>
      <c r="Q19" s="19">
        <f t="shared" si="4"/>
        <v>577.86264864024497</v>
      </c>
      <c r="R19" s="19">
        <f t="shared" si="5"/>
        <v>545.64452045886765</v>
      </c>
      <c r="S19" s="19">
        <f t="shared" si="6"/>
        <v>5558.9132333153248</v>
      </c>
      <c r="T19" s="19">
        <f t="shared" si="7"/>
        <v>6533.3332602092732</v>
      </c>
      <c r="U19" s="19">
        <f t="shared" si="8"/>
        <v>667.16525075903701</v>
      </c>
      <c r="V19" s="19">
        <f t="shared" si="9"/>
        <v>622.85509481857412</v>
      </c>
    </row>
    <row r="20" spans="1:22" x14ac:dyDescent="0.25">
      <c r="A20" s="9">
        <v>85</v>
      </c>
      <c r="B20" s="10">
        <v>5</v>
      </c>
      <c r="C20" s="16">
        <v>3225</v>
      </c>
      <c r="D20" s="10">
        <v>4100</v>
      </c>
      <c r="E20" s="12">
        <v>485</v>
      </c>
      <c r="F20" s="12">
        <v>487</v>
      </c>
      <c r="G20" s="3">
        <v>2493</v>
      </c>
      <c r="H20" s="4">
        <v>2984</v>
      </c>
      <c r="I20" s="14">
        <v>290</v>
      </c>
      <c r="J20" s="14">
        <v>266</v>
      </c>
      <c r="K20" s="17">
        <f t="shared" si="10"/>
        <v>2.5744614570631503E-2</v>
      </c>
      <c r="L20" s="17">
        <f t="shared" si="0"/>
        <v>3.1772229136874761E-2</v>
      </c>
      <c r="M20" s="17">
        <f t="shared" si="1"/>
        <v>5.1426796795696339E-2</v>
      </c>
      <c r="N20" s="17">
        <f t="shared" si="2"/>
        <v>6.0476781430089069E-2</v>
      </c>
      <c r="O20" s="19">
        <f>G20*EXP(K20*(2019.5-2010))</f>
        <v>3183.752851529799</v>
      </c>
      <c r="P20" s="19">
        <f t="shared" si="3"/>
        <v>4035.3815572285962</v>
      </c>
      <c r="Q20" s="19">
        <f t="shared" si="4"/>
        <v>472.68797217883417</v>
      </c>
      <c r="R20" s="19">
        <f t="shared" si="5"/>
        <v>472.49432315154831</v>
      </c>
      <c r="S20" s="19">
        <f t="shared" si="6"/>
        <v>3351.9754952394246</v>
      </c>
      <c r="T20" s="19">
        <f t="shared" si="7"/>
        <v>4300.1302692522713</v>
      </c>
      <c r="U20" s="19">
        <f t="shared" si="8"/>
        <v>523.89384930176516</v>
      </c>
      <c r="V20" s="19">
        <f t="shared" si="9"/>
        <v>533.24410115514434</v>
      </c>
    </row>
    <row r="21" spans="1:22" x14ac:dyDescent="0.25">
      <c r="A21" s="9">
        <v>90</v>
      </c>
      <c r="B21" s="10">
        <v>5</v>
      </c>
      <c r="C21" s="16">
        <v>1353</v>
      </c>
      <c r="D21" s="10">
        <v>1864</v>
      </c>
      <c r="E21" s="12">
        <v>329</v>
      </c>
      <c r="F21" s="12">
        <v>384</v>
      </c>
      <c r="G21" s="6">
        <v>880</v>
      </c>
      <c r="H21" s="4">
        <v>1117</v>
      </c>
      <c r="I21" s="14">
        <v>152</v>
      </c>
      <c r="J21" s="14">
        <v>173</v>
      </c>
      <c r="K21" s="17">
        <f t="shared" si="10"/>
        <v>4.3015772069853589E-2</v>
      </c>
      <c r="L21" s="17">
        <f t="shared" si="0"/>
        <v>5.1207819617633585E-2</v>
      </c>
      <c r="M21" s="17">
        <f t="shared" si="1"/>
        <v>7.7217722991909543E-2</v>
      </c>
      <c r="N21" s="17">
        <f t="shared" si="2"/>
        <v>7.973509580899478E-2</v>
      </c>
      <c r="O21" s="19">
        <f>G21*EXP(K21*(2019.5-2010))</f>
        <v>1324.2105402040102</v>
      </c>
      <c r="P21" s="19">
        <f t="shared" si="3"/>
        <v>1816.8801129179724</v>
      </c>
      <c r="Q21" s="19">
        <f t="shared" si="4"/>
        <v>316.53976999081272</v>
      </c>
      <c r="R21" s="19">
        <f t="shared" si="5"/>
        <v>368.99201516355078</v>
      </c>
      <c r="S21" s="19">
        <f t="shared" si="6"/>
        <v>1443.1785498304841</v>
      </c>
      <c r="T21" s="19">
        <f t="shared" si="7"/>
        <v>2012.8194400501316</v>
      </c>
      <c r="U21" s="19">
        <f t="shared" si="8"/>
        <v>369.40157641346656</v>
      </c>
      <c r="V21" s="19">
        <f t="shared" si="9"/>
        <v>432.78678628491684</v>
      </c>
    </row>
    <row r="22" spans="1:22" x14ac:dyDescent="0.25">
      <c r="A22" s="10" t="s">
        <v>6</v>
      </c>
      <c r="B22" s="10"/>
      <c r="C22" s="16">
        <v>589</v>
      </c>
      <c r="D22" s="10">
        <v>839</v>
      </c>
      <c r="E22" s="12">
        <v>146</v>
      </c>
      <c r="F22" s="12">
        <v>202</v>
      </c>
      <c r="G22" s="6">
        <v>393</v>
      </c>
      <c r="H22" s="7">
        <v>588</v>
      </c>
      <c r="I22" s="15">
        <v>52</v>
      </c>
      <c r="J22" s="15">
        <v>85</v>
      </c>
      <c r="K22" s="17">
        <f t="shared" si="10"/>
        <v>4.0461657178232545E-2</v>
      </c>
      <c r="L22" s="17">
        <f t="shared" si="0"/>
        <v>3.5548375856857925E-2</v>
      </c>
      <c r="M22" s="17">
        <f t="shared" si="1"/>
        <v>0.10323629031269091</v>
      </c>
      <c r="N22" s="17">
        <f t="shared" si="2"/>
        <v>8.6561644091088824E-2</v>
      </c>
      <c r="O22" s="19">
        <f>G22*EXP(K22*(2019.5-2010))</f>
        <v>577.20376806784122</v>
      </c>
      <c r="P22" s="19">
        <f t="shared" si="3"/>
        <v>824.21920378211212</v>
      </c>
      <c r="Q22" s="19">
        <f t="shared" si="4"/>
        <v>138.65495051594405</v>
      </c>
      <c r="R22" s="19">
        <f t="shared" si="5"/>
        <v>193.44376989008114</v>
      </c>
      <c r="S22" s="19">
        <f>G22*EXP(K22*(2021.5-2010))</f>
        <v>625.85497154990867</v>
      </c>
      <c r="T22" s="19">
        <f t="shared" si="7"/>
        <v>884.95187964971672</v>
      </c>
      <c r="U22" s="19">
        <f t="shared" si="8"/>
        <v>170.45324856821188</v>
      </c>
      <c r="V22" s="19">
        <f t="shared" si="9"/>
        <v>230.00709667084976</v>
      </c>
    </row>
    <row r="23" spans="1:22" ht="15.75" customHeight="1" x14ac:dyDescent="0.25">
      <c r="O23" s="18"/>
      <c r="P23" s="18"/>
      <c r="Q23" s="18"/>
      <c r="R23" s="18"/>
      <c r="S23" s="18"/>
      <c r="T23" s="18"/>
      <c r="U23" s="18"/>
      <c r="V23" s="18"/>
    </row>
  </sheetData>
  <mergeCells count="2">
    <mergeCell ref="S23:V23"/>
    <mergeCell ref="O23:R23"/>
  </mergeCells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2010</vt:lpstr>
      <vt:lpstr>2020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Nicolas De silva</dc:creator>
  <cp:lastModifiedBy>Nicolas De silva</cp:lastModifiedBy>
  <dcterms:created xsi:type="dcterms:W3CDTF">2026-05-15T22:18:57Z</dcterms:created>
  <dcterms:modified xsi:type="dcterms:W3CDTF">2026-05-15T22:18:57Z</dcterms:modified>
</cp:coreProperties>
</file>