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mortalidad 1998" sheetId="1" r:id="rId4"/>
    <sheet state="visible" name="tabla mortalidad 2018" sheetId="2" r:id="rId5"/>
  </sheets>
  <definedNames>
    <definedName localSheetId="1" name="_Hlk25056703">'tabla mortalidad 2018'!$A$3</definedName>
  </definedNames>
  <calcPr/>
  <extLst>
    <ext uri="GoogleSheetsCustomDataVersion2">
      <go:sheetsCustomData xmlns:go="http://customooxmlschemas.google.com/" r:id="rId6" roundtripDataChecksum="0DD0Xq+BCvdC1vA5CvwoB0UwTSnYzTTXpvC/yZo+RwE="/>
    </ext>
  </extLst>
</workbook>
</file>

<file path=xl/sharedStrings.xml><?xml version="1.0" encoding="utf-8"?>
<sst xmlns="http://schemas.openxmlformats.org/spreadsheetml/2006/main" count="31" uniqueCount="27">
  <si>
    <t>Guatemala: tabla de mortalidad femenina, 1998</t>
  </si>
  <si>
    <t>x (edad)</t>
  </si>
  <si>
    <t>n</t>
  </si>
  <si>
    <t>nKx</t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</si>
  <si>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D</t>
    </r>
    <r>
      <rPr>
        <rFont val="Calibri"/>
        <b/>
        <color theme="1"/>
        <sz val="11.0"/>
        <vertAlign val="subscript"/>
      </rPr>
      <t>x</t>
    </r>
  </si>
  <si>
    <t>nMx</t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</si>
  <si>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a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</si>
  <si>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q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</si>
  <si>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p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</si>
  <si>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</rPr>
      <t>l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</si>
  <si>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d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</si>
  <si>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L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</si>
  <si>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</rPr>
      <t>T</t>
    </r>
    <r>
      <rPr>
        <rFont val="Calibri"/>
        <b/>
        <color theme="1"/>
        <sz val="11.0"/>
        <vertAlign val="subscript"/>
      </rPr>
      <t>x</t>
    </r>
  </si>
  <si>
    <t>e</t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</si>
  <si>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d</t>
    </r>
    <r>
      <rPr>
        <rFont val="Calibri"/>
        <b/>
        <color theme="1"/>
        <sz val="11.0"/>
        <vertAlign val="subscript"/>
      </rPr>
      <t>x</t>
    </r>
  </si>
  <si>
    <t>85+</t>
  </si>
  <si>
    <t>Guatemala: tabla de mortalidad femenina, 2018</t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</si>
  <si>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N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</si>
  <si>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D</t>
    </r>
    <r>
      <rPr>
        <rFont val="Calibri"/>
        <b/>
        <color theme="1"/>
        <sz val="11.0"/>
        <vertAlign val="subscript"/>
      </rPr>
      <t>x</t>
    </r>
  </si>
  <si>
    <t>nmx</t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</si>
  <si>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a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</si>
  <si>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q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</si>
  <si>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p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</si>
  <si>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</rPr>
      <t>l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</si>
  <si>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d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</si>
  <si>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  <vertAlign val="subscript"/>
      </rPr>
      <t>n</t>
    </r>
    <r>
      <rPr>
        <rFont val="Calibri"/>
        <b/>
        <color theme="1"/>
        <sz val="11.0"/>
      </rPr>
      <t>L</t>
    </r>
    <r>
      <rPr>
        <rFont val="Calibri"/>
        <b/>
        <color theme="1"/>
        <sz val="11.0"/>
        <vertAlign val="subscript"/>
      </rPr>
      <t>x</t>
    </r>
  </si>
  <si>
    <r>
      <rPr>
        <rFont val="Calibri"/>
        <b/>
        <color theme="1"/>
        <sz val="11.0"/>
      </rPr>
      <t>T</t>
    </r>
    <r>
      <rPr>
        <rFont val="Calibri"/>
        <b/>
        <color theme="1"/>
        <sz val="11.0"/>
        <vertAlign val="subscript"/>
      </rPr>
      <t>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</si>
</sst>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00"/>
    <numFmt numFmtId="166" formatCode="0.000000"/>
    <numFmt numFmtId="167" formatCode="0.000"/>
  </numFmts>
  <fonts count="5">
    <font>
      <sz val="11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3" numFmtId="0" xfId="0" applyFont="1"/>
    <xf borderId="1" fillId="0" fontId="2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1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horizontal="center" vertical="center"/>
    </xf>
    <xf borderId="1" fillId="2" fontId="4" numFmtId="164" xfId="0" applyAlignment="1" applyBorder="1" applyFill="1" applyFont="1" applyNumberFormat="1">
      <alignment horizontal="center"/>
    </xf>
    <xf borderId="1" fillId="0" fontId="4" numFmtId="1" xfId="0" applyAlignment="1" applyBorder="1" applyFont="1" applyNumberFormat="1">
      <alignment horizontal="center" vertical="center"/>
    </xf>
    <xf borderId="1" fillId="2" fontId="4" numFmtId="2" xfId="0" applyAlignment="1" applyBorder="1" applyFont="1" applyNumberFormat="1">
      <alignment horizontal="center" vertical="center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1" fillId="0" fontId="4" numFmtId="165" xfId="0" applyAlignment="1" applyBorder="1" applyFont="1" applyNumberFormat="1">
      <alignment horizontal="center" vertical="center"/>
    </xf>
    <xf borderId="0" fillId="0" fontId="2" numFmtId="1" xfId="0" applyFont="1" applyNumberFormat="1"/>
    <xf borderId="2" fillId="2" fontId="4" numFmtId="164" xfId="0" applyAlignment="1" applyBorder="1" applyFont="1" applyNumberFormat="1">
      <alignment horizontal="center"/>
    </xf>
    <xf borderId="1" fillId="3" fontId="4" numFmtId="1" xfId="0" applyAlignment="1" applyBorder="1" applyFill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0" fillId="0" fontId="2" numFmtId="166" xfId="0" applyFont="1" applyNumberFormat="1"/>
    <xf borderId="0" fillId="0" fontId="2" numFmtId="167" xfId="0" applyFont="1" applyNumberFormat="1"/>
    <xf borderId="1" fillId="4" fontId="4" numFmtId="164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'tabla mortalidad 1998'!$N$3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'tabla mortalidad 1998'!$N$4:$N$22</c:f>
              <c:numCache/>
            </c:numRef>
          </c:val>
          <c:smooth val="0"/>
        </c:ser>
        <c:ser>
          <c:idx val="1"/>
          <c:order val="1"/>
          <c:tx>
            <c:strRef>
              <c:f>'tabla mortalidad 1998'!$O$3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'tabla mortalidad 1998'!$O$4:$O$22</c:f>
              <c:numCache/>
            </c:numRef>
          </c:val>
          <c:smooth val="0"/>
        </c:ser>
        <c:axId val="1314554833"/>
        <c:axId val="70825850"/>
      </c:lineChart>
      <c:catAx>
        <c:axId val="1314554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25850"/>
      </c:catAx>
      <c:valAx>
        <c:axId val="70825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554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3</xdr:row>
      <xdr:rowOff>0</xdr:rowOff>
    </xdr:from>
    <xdr:ext cx="5715000" cy="3533775"/>
    <xdr:graphicFrame>
      <xdr:nvGraphicFramePr>
        <xdr:cNvPr id="90702071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190500</xdr:colOff>
      <xdr:row>2</xdr:row>
      <xdr:rowOff>9525</xdr:rowOff>
    </xdr:from>
    <xdr:ext cx="180975" cy="180975"/>
    <xdr:sp>
      <xdr:nvSpPr>
        <xdr:cNvPr id="3" name="Shape 3"/>
        <xdr:cNvSpPr txBox="1"/>
      </xdr:nvSpPr>
      <xdr:spPr>
        <a:xfrm>
          <a:off x="5260275" y="3694275"/>
          <a:ext cx="171450" cy="1714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209550</xdr:colOff>
      <xdr:row>2</xdr:row>
      <xdr:rowOff>9525</xdr:rowOff>
    </xdr:from>
    <xdr:ext cx="180975" cy="180975"/>
    <xdr:sp>
      <xdr:nvSpPr>
        <xdr:cNvPr id="3" name="Shape 3"/>
        <xdr:cNvSpPr txBox="1"/>
      </xdr:nvSpPr>
      <xdr:spPr>
        <a:xfrm>
          <a:off x="5260275" y="3694275"/>
          <a:ext cx="171450" cy="1714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6.5"/>
    <col customWidth="1" min="14" max="14" width="6.75"/>
    <col customWidth="1" min="15" max="18" width="6.88"/>
    <col customWidth="1" min="19" max="19" width="8.5"/>
    <col customWidth="1" min="20" max="26" width="11.2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>
        <v>1998.0</v>
      </c>
      <c r="O2" s="4">
        <v>2018.0</v>
      </c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6" t="s">
        <v>13</v>
      </c>
      <c r="N3" s="7" t="str">
        <f>'tabla mortalidad 1998'!E3</f>
        <v>nMx</v>
      </c>
      <c r="O3" s="4" t="str">
        <f>'tabla mortalidad 2018'!E3</f>
        <v>nmx</v>
      </c>
      <c r="Q3" s="5"/>
      <c r="S3" s="5" t="s">
        <v>14</v>
      </c>
    </row>
    <row r="4">
      <c r="A4" s="8">
        <v>0.0</v>
      </c>
      <c r="B4" s="8">
        <v>1.0</v>
      </c>
      <c r="C4" s="9">
        <v>181367.0</v>
      </c>
      <c r="D4" s="10">
        <v>6684.0</v>
      </c>
      <c r="E4" s="11">
        <f t="shared" ref="E4:E22" si="1">D4/C4</f>
        <v>0.03685345184</v>
      </c>
      <c r="F4" s="12">
        <v>0.1562</v>
      </c>
      <c r="G4" s="11">
        <f t="shared" ref="G4:G21" si="2">(B4*E4)/(1+(B4-F4)*E4)</f>
        <v>0.03574198537</v>
      </c>
      <c r="H4" s="11">
        <f t="shared" ref="H4:H22" si="3">1-G4</f>
        <v>0.9642580146</v>
      </c>
      <c r="I4" s="13">
        <v>100000.0</v>
      </c>
      <c r="J4" s="13">
        <f t="shared" ref="J4:J22" si="4">I4-I5</f>
        <v>3574.198537</v>
      </c>
      <c r="K4" s="13">
        <f t="shared" ref="K4:K21" si="5">(B4*I5)+(F4*D4)</f>
        <v>97469.84226</v>
      </c>
      <c r="L4" s="13">
        <f t="shared" ref="L4:L21" si="6">L5+K4</f>
        <v>6851332.904</v>
      </c>
      <c r="M4" s="14">
        <f t="shared" ref="M4:M22" si="7">L4/I4</f>
        <v>68.51332904</v>
      </c>
      <c r="N4" s="15">
        <f>'tabla mortalidad 1998'!E4</f>
        <v>0.03685345184</v>
      </c>
      <c r="O4" s="16">
        <f>'tabla mortalidad 2018'!E4</f>
        <v>0.01837226945</v>
      </c>
      <c r="P4" s="17"/>
      <c r="Q4" s="17"/>
      <c r="S4" s="18"/>
    </row>
    <row r="5">
      <c r="A5" s="8">
        <v>1.0</v>
      </c>
      <c r="B5" s="8">
        <v>4.0</v>
      </c>
      <c r="C5" s="9">
        <v>723017.0</v>
      </c>
      <c r="D5" s="10">
        <v>4094.0</v>
      </c>
      <c r="E5" s="11">
        <f t="shared" si="1"/>
        <v>0.005662384149</v>
      </c>
      <c r="F5" s="19">
        <f>IF(E5&gt;=0.107,1.361,1.522-1.518*E4)</f>
        <v>1.46605646</v>
      </c>
      <c r="G5" s="11">
        <f t="shared" si="2"/>
        <v>0.02232915428</v>
      </c>
      <c r="H5" s="11">
        <f t="shared" si="3"/>
        <v>0.9776708457</v>
      </c>
      <c r="I5" s="13">
        <f t="shared" ref="I5:I22" si="8">I4*H4</f>
        <v>96425.80146</v>
      </c>
      <c r="J5" s="13">
        <f t="shared" si="4"/>
        <v>2153.106597</v>
      </c>
      <c r="K5" s="13">
        <f t="shared" si="5"/>
        <v>383092.8146</v>
      </c>
      <c r="L5" s="13">
        <f t="shared" si="6"/>
        <v>6753863.062</v>
      </c>
      <c r="M5" s="14">
        <f t="shared" si="7"/>
        <v>70.04207338</v>
      </c>
      <c r="N5" s="15">
        <f>'tabla mortalidad 1998'!E5</f>
        <v>0.005662384149</v>
      </c>
      <c r="O5" s="16">
        <f>'tabla mortalidad 2018'!E5</f>
        <v>0.005080457316</v>
      </c>
      <c r="P5" s="17"/>
      <c r="Q5" s="17"/>
      <c r="S5" s="18"/>
    </row>
    <row r="6">
      <c r="A6" s="8">
        <v>5.0</v>
      </c>
      <c r="B6" s="8">
        <v>5.0</v>
      </c>
      <c r="C6" s="9">
        <v>800809.0</v>
      </c>
      <c r="D6" s="10">
        <v>720.0</v>
      </c>
      <c r="E6" s="11">
        <f t="shared" si="1"/>
        <v>0.0008990907944</v>
      </c>
      <c r="F6" s="11">
        <f t="shared" ref="F6:F22" si="9">B6/2</f>
        <v>2.5</v>
      </c>
      <c r="G6" s="11">
        <f t="shared" si="2"/>
        <v>0.00448537208</v>
      </c>
      <c r="H6" s="11">
        <f t="shared" si="3"/>
        <v>0.9955146279</v>
      </c>
      <c r="I6" s="13">
        <f t="shared" si="8"/>
        <v>94272.69487</v>
      </c>
      <c r="J6" s="13">
        <f t="shared" si="4"/>
        <v>422.8481135</v>
      </c>
      <c r="K6" s="13">
        <f t="shared" si="5"/>
        <v>471049.2338</v>
      </c>
      <c r="L6" s="13">
        <f t="shared" si="6"/>
        <v>6370770.247</v>
      </c>
      <c r="M6" s="14">
        <f t="shared" si="7"/>
        <v>67.57810685</v>
      </c>
      <c r="N6" s="15">
        <f>'tabla mortalidad 1998'!E6</f>
        <v>0.0008990907944</v>
      </c>
      <c r="O6" s="16">
        <f>'tabla mortalidad 2018'!E6</f>
        <v>0.0003253186023</v>
      </c>
      <c r="P6" s="17"/>
      <c r="Q6" s="17"/>
      <c r="S6" s="18"/>
    </row>
    <row r="7">
      <c r="A7" s="8">
        <v>10.0</v>
      </c>
      <c r="B7" s="8">
        <v>5.0</v>
      </c>
      <c r="C7" s="9">
        <v>711792.0</v>
      </c>
      <c r="D7" s="10">
        <v>501.0</v>
      </c>
      <c r="E7" s="11">
        <f t="shared" si="1"/>
        <v>0.0007038573066</v>
      </c>
      <c r="F7" s="11">
        <f t="shared" si="9"/>
        <v>2.5</v>
      </c>
      <c r="G7" s="11">
        <f t="shared" si="2"/>
        <v>0.003513104722</v>
      </c>
      <c r="H7" s="11">
        <f t="shared" si="3"/>
        <v>0.9964868953</v>
      </c>
      <c r="I7" s="13">
        <f t="shared" si="8"/>
        <v>93849.84675</v>
      </c>
      <c r="J7" s="13">
        <f t="shared" si="4"/>
        <v>329.7043398</v>
      </c>
      <c r="K7" s="13">
        <f t="shared" si="5"/>
        <v>468853.2121</v>
      </c>
      <c r="L7" s="13">
        <f t="shared" si="6"/>
        <v>5899721.013</v>
      </c>
      <c r="M7" s="14">
        <f t="shared" si="7"/>
        <v>62.86340593</v>
      </c>
      <c r="N7" s="15">
        <f>'tabla mortalidad 1998'!E7</f>
        <v>0.0007038573066</v>
      </c>
      <c r="O7" s="16">
        <f>'tabla mortalidad 2018'!E7</f>
        <v>0.0004176401961</v>
      </c>
      <c r="P7" s="17"/>
      <c r="Q7" s="17"/>
      <c r="S7" s="18"/>
    </row>
    <row r="8">
      <c r="A8" s="8">
        <v>15.0</v>
      </c>
      <c r="B8" s="8">
        <v>5.0</v>
      </c>
      <c r="C8" s="9">
        <v>637682.0</v>
      </c>
      <c r="D8" s="10">
        <v>650.0</v>
      </c>
      <c r="E8" s="11">
        <f t="shared" si="1"/>
        <v>0.001019316838</v>
      </c>
      <c r="F8" s="11">
        <f t="shared" si="9"/>
        <v>2.5</v>
      </c>
      <c r="G8" s="11">
        <f t="shared" si="2"/>
        <v>0.005083629618</v>
      </c>
      <c r="H8" s="11">
        <f t="shared" si="3"/>
        <v>0.9949163704</v>
      </c>
      <c r="I8" s="13">
        <f t="shared" si="8"/>
        <v>93520.14241</v>
      </c>
      <c r="J8" s="13">
        <f t="shared" si="4"/>
        <v>475.4217658</v>
      </c>
      <c r="K8" s="13">
        <f t="shared" si="5"/>
        <v>466848.6032</v>
      </c>
      <c r="L8" s="13">
        <f t="shared" si="6"/>
        <v>5430867.801</v>
      </c>
      <c r="M8" s="14">
        <f t="shared" si="7"/>
        <v>58.07163741</v>
      </c>
      <c r="N8" s="15">
        <f>'tabla mortalidad 1998'!E8</f>
        <v>0.001019316838</v>
      </c>
      <c r="O8" s="16">
        <f>'tabla mortalidad 2018'!E8</f>
        <v>0.0006902237475</v>
      </c>
      <c r="P8" s="17"/>
      <c r="Q8" s="17"/>
      <c r="S8" s="18"/>
    </row>
    <row r="9">
      <c r="A9" s="8">
        <v>20.0</v>
      </c>
      <c r="B9" s="8">
        <v>5.0</v>
      </c>
      <c r="C9" s="9">
        <v>525017.0</v>
      </c>
      <c r="D9" s="10">
        <v>767.0</v>
      </c>
      <c r="E9" s="11">
        <f t="shared" si="1"/>
        <v>0.001460905075</v>
      </c>
      <c r="F9" s="11">
        <f t="shared" si="9"/>
        <v>2.5</v>
      </c>
      <c r="G9" s="11">
        <f t="shared" si="2"/>
        <v>0.007277944412</v>
      </c>
      <c r="H9" s="11">
        <f t="shared" si="3"/>
        <v>0.9927220556</v>
      </c>
      <c r="I9" s="13">
        <f t="shared" si="8"/>
        <v>93044.72065</v>
      </c>
      <c r="J9" s="13">
        <f t="shared" si="4"/>
        <v>677.1743047</v>
      </c>
      <c r="K9" s="13">
        <f t="shared" si="5"/>
        <v>463755.2317</v>
      </c>
      <c r="L9" s="13">
        <f t="shared" si="6"/>
        <v>4964019.198</v>
      </c>
      <c r="M9" s="14">
        <f t="shared" si="7"/>
        <v>53.35089582</v>
      </c>
      <c r="N9" s="15">
        <f>'tabla mortalidad 1998'!E9</f>
        <v>0.001460905075</v>
      </c>
      <c r="O9" s="16">
        <f>'tabla mortalidad 2018'!E9</f>
        <v>0.001005022793</v>
      </c>
      <c r="P9" s="17"/>
      <c r="Q9" s="17"/>
      <c r="S9" s="18"/>
    </row>
    <row r="10">
      <c r="A10" s="8">
        <v>25.0</v>
      </c>
      <c r="B10" s="8">
        <v>5.0</v>
      </c>
      <c r="C10" s="9">
        <v>416776.0</v>
      </c>
      <c r="D10" s="10">
        <v>789.0</v>
      </c>
      <c r="E10" s="11">
        <f t="shared" si="1"/>
        <v>0.00189310325</v>
      </c>
      <c r="F10" s="11">
        <f t="shared" si="9"/>
        <v>2.5</v>
      </c>
      <c r="G10" s="11">
        <f t="shared" si="2"/>
        <v>0.009420929269</v>
      </c>
      <c r="H10" s="11">
        <f t="shared" si="3"/>
        <v>0.9905790707</v>
      </c>
      <c r="I10" s="13">
        <f t="shared" si="8"/>
        <v>92367.54634</v>
      </c>
      <c r="J10" s="13">
        <f t="shared" si="4"/>
        <v>870.1881208</v>
      </c>
      <c r="K10" s="13">
        <f t="shared" si="5"/>
        <v>459459.2911</v>
      </c>
      <c r="L10" s="13">
        <f t="shared" si="6"/>
        <v>4500263.966</v>
      </c>
      <c r="M10" s="14">
        <f t="shared" si="7"/>
        <v>48.72126785</v>
      </c>
      <c r="N10" s="15">
        <f>'tabla mortalidad 1998'!E10</f>
        <v>0.00189310325</v>
      </c>
      <c r="O10" s="16">
        <f>'tabla mortalidad 2018'!E10</f>
        <v>0.001248784079</v>
      </c>
      <c r="P10" s="17"/>
      <c r="Q10" s="17"/>
      <c r="S10" s="18"/>
    </row>
    <row r="11">
      <c r="A11" s="8">
        <v>30.0</v>
      </c>
      <c r="B11" s="8">
        <v>5.0</v>
      </c>
      <c r="C11" s="9">
        <v>334865.0</v>
      </c>
      <c r="D11" s="10">
        <v>786.0</v>
      </c>
      <c r="E11" s="11">
        <f t="shared" si="1"/>
        <v>0.002347214549</v>
      </c>
      <c r="F11" s="11">
        <f t="shared" si="9"/>
        <v>2.5</v>
      </c>
      <c r="G11" s="11">
        <f t="shared" si="2"/>
        <v>0.0116676068</v>
      </c>
      <c r="H11" s="11">
        <f t="shared" si="3"/>
        <v>0.9883323932</v>
      </c>
      <c r="I11" s="13">
        <f t="shared" si="8"/>
        <v>91497.35822</v>
      </c>
      <c r="J11" s="13">
        <f t="shared" si="4"/>
        <v>1067.555199</v>
      </c>
      <c r="K11" s="13">
        <f t="shared" si="5"/>
        <v>454114.0151</v>
      </c>
      <c r="L11" s="13">
        <f t="shared" si="6"/>
        <v>4040804.675</v>
      </c>
      <c r="M11" s="14">
        <f t="shared" si="7"/>
        <v>44.1630748</v>
      </c>
      <c r="N11" s="15">
        <f>'tabla mortalidad 1998'!E11</f>
        <v>0.002347214549</v>
      </c>
      <c r="O11" s="16">
        <f>'tabla mortalidad 2018'!E11</f>
        <v>0.001496010385</v>
      </c>
      <c r="P11" s="17"/>
      <c r="Q11" s="17"/>
      <c r="S11" s="18"/>
    </row>
    <row r="12">
      <c r="A12" s="8">
        <v>35.0</v>
      </c>
      <c r="B12" s="8">
        <v>5.0</v>
      </c>
      <c r="C12" s="9">
        <v>277562.0</v>
      </c>
      <c r="D12" s="10">
        <v>798.0</v>
      </c>
      <c r="E12" s="11">
        <f t="shared" si="1"/>
        <v>0.002875033326</v>
      </c>
      <c r="F12" s="11">
        <f t="shared" si="9"/>
        <v>2.5</v>
      </c>
      <c r="G12" s="11">
        <f t="shared" si="2"/>
        <v>0.01427258126</v>
      </c>
      <c r="H12" s="11">
        <f t="shared" si="3"/>
        <v>0.9857274187</v>
      </c>
      <c r="I12" s="13">
        <f t="shared" si="8"/>
        <v>90429.80302</v>
      </c>
      <c r="J12" s="13">
        <f t="shared" si="4"/>
        <v>1290.666712</v>
      </c>
      <c r="K12" s="13">
        <f t="shared" si="5"/>
        <v>447690.6815</v>
      </c>
      <c r="L12" s="13">
        <f t="shared" si="6"/>
        <v>3586690.66</v>
      </c>
      <c r="M12" s="14">
        <f t="shared" si="7"/>
        <v>39.66270566</v>
      </c>
      <c r="N12" s="15">
        <f>'tabla mortalidad 1998'!E12</f>
        <v>0.002875033326</v>
      </c>
      <c r="O12" s="16">
        <f>'tabla mortalidad 2018'!E12</f>
        <v>0.001798279906</v>
      </c>
      <c r="P12" s="17"/>
      <c r="Q12" s="17"/>
      <c r="S12" s="18"/>
    </row>
    <row r="13">
      <c r="A13" s="8">
        <v>40.0</v>
      </c>
      <c r="B13" s="8">
        <v>5.0</v>
      </c>
      <c r="C13" s="9">
        <v>241101.0</v>
      </c>
      <c r="D13" s="10">
        <v>876.0</v>
      </c>
      <c r="E13" s="11">
        <f t="shared" si="1"/>
        <v>0.003633332089</v>
      </c>
      <c r="F13" s="11">
        <f t="shared" si="9"/>
        <v>2.5</v>
      </c>
      <c r="G13" s="11">
        <f t="shared" si="2"/>
        <v>0.01800313205</v>
      </c>
      <c r="H13" s="11">
        <f t="shared" si="3"/>
        <v>0.9819968679</v>
      </c>
      <c r="I13" s="13">
        <f t="shared" si="8"/>
        <v>89139.13631</v>
      </c>
      <c r="J13" s="13">
        <f t="shared" si="4"/>
        <v>1604.783642</v>
      </c>
      <c r="K13" s="13">
        <f t="shared" si="5"/>
        <v>439861.7633</v>
      </c>
      <c r="L13" s="13">
        <f t="shared" si="6"/>
        <v>3138999.978</v>
      </c>
      <c r="M13" s="14">
        <f t="shared" si="7"/>
        <v>35.21461065</v>
      </c>
      <c r="N13" s="15">
        <f>'tabla mortalidad 1998'!E13</f>
        <v>0.003633332089</v>
      </c>
      <c r="O13" s="16">
        <f>'tabla mortalidad 2018'!E13</f>
        <v>0.002347307938</v>
      </c>
      <c r="P13" s="17"/>
      <c r="Q13" s="17"/>
      <c r="S13" s="18"/>
    </row>
    <row r="14">
      <c r="A14" s="8">
        <v>45.0</v>
      </c>
      <c r="B14" s="8">
        <v>5.0</v>
      </c>
      <c r="C14" s="9">
        <v>196786.0</v>
      </c>
      <c r="D14" s="10">
        <v>937.0</v>
      </c>
      <c r="E14" s="11">
        <f t="shared" si="1"/>
        <v>0.004761517588</v>
      </c>
      <c r="F14" s="11">
        <f t="shared" si="9"/>
        <v>2.5</v>
      </c>
      <c r="G14" s="11">
        <f t="shared" si="2"/>
        <v>0.02352752117</v>
      </c>
      <c r="H14" s="11">
        <f t="shared" si="3"/>
        <v>0.9764724788</v>
      </c>
      <c r="I14" s="13">
        <f t="shared" si="8"/>
        <v>87534.35267</v>
      </c>
      <c r="J14" s="13">
        <f t="shared" si="4"/>
        <v>2059.466336</v>
      </c>
      <c r="K14" s="13">
        <f t="shared" si="5"/>
        <v>429716.9317</v>
      </c>
      <c r="L14" s="13">
        <f t="shared" si="6"/>
        <v>2699138.215</v>
      </c>
      <c r="M14" s="14">
        <f t="shared" si="7"/>
        <v>30.83518793</v>
      </c>
      <c r="N14" s="15">
        <f>'tabla mortalidad 1998'!E14</f>
        <v>0.004761517588</v>
      </c>
      <c r="O14" s="16">
        <f>'tabla mortalidad 2018'!E14</f>
        <v>0.003260049142</v>
      </c>
      <c r="P14" s="17"/>
      <c r="Q14" s="17"/>
      <c r="S14" s="18"/>
    </row>
    <row r="15">
      <c r="A15" s="8">
        <v>50.0</v>
      </c>
      <c r="B15" s="8">
        <v>5.0</v>
      </c>
      <c r="C15" s="9">
        <v>146248.0</v>
      </c>
      <c r="D15" s="10">
        <v>1017.0</v>
      </c>
      <c r="E15" s="11">
        <f t="shared" si="1"/>
        <v>0.00695394125</v>
      </c>
      <c r="F15" s="11">
        <f t="shared" si="9"/>
        <v>2.5</v>
      </c>
      <c r="G15" s="11">
        <f t="shared" si="2"/>
        <v>0.034175569</v>
      </c>
      <c r="H15" s="11">
        <f t="shared" si="3"/>
        <v>0.965824431</v>
      </c>
      <c r="I15" s="13">
        <f t="shared" si="8"/>
        <v>85474.88633</v>
      </c>
      <c r="J15" s="13">
        <f t="shared" si="4"/>
        <v>2921.152876</v>
      </c>
      <c r="K15" s="13">
        <f t="shared" si="5"/>
        <v>415311.1673</v>
      </c>
      <c r="L15" s="13">
        <f t="shared" si="6"/>
        <v>2269421.283</v>
      </c>
      <c r="M15" s="14">
        <f t="shared" si="7"/>
        <v>26.55073766</v>
      </c>
      <c r="N15" s="15">
        <f>'tabla mortalidad 1998'!E15</f>
        <v>0.00695394125</v>
      </c>
      <c r="O15" s="16">
        <f>'tabla mortalidad 2018'!E15</f>
        <v>0.004729120016</v>
      </c>
      <c r="P15" s="17"/>
      <c r="Q15" s="17"/>
      <c r="S15" s="18"/>
    </row>
    <row r="16">
      <c r="A16" s="8">
        <v>55.0</v>
      </c>
      <c r="B16" s="8">
        <v>5.0</v>
      </c>
      <c r="C16" s="9">
        <v>124385.0</v>
      </c>
      <c r="D16" s="10">
        <v>1247.0</v>
      </c>
      <c r="E16" s="11">
        <f t="shared" si="1"/>
        <v>0.0100253246</v>
      </c>
      <c r="F16" s="11">
        <f t="shared" si="9"/>
        <v>2.5</v>
      </c>
      <c r="G16" s="11">
        <f t="shared" si="2"/>
        <v>0.04890100194</v>
      </c>
      <c r="H16" s="11">
        <f t="shared" si="3"/>
        <v>0.9510989981</v>
      </c>
      <c r="I16" s="13">
        <f t="shared" si="8"/>
        <v>82553.73346</v>
      </c>
      <c r="J16" s="13">
        <f t="shared" si="4"/>
        <v>4036.96028</v>
      </c>
      <c r="K16" s="13">
        <f t="shared" si="5"/>
        <v>395701.3659</v>
      </c>
      <c r="L16" s="13">
        <f t="shared" si="6"/>
        <v>1854110.116</v>
      </c>
      <c r="M16" s="14">
        <f t="shared" si="7"/>
        <v>22.45943386</v>
      </c>
      <c r="N16" s="15">
        <f>'tabla mortalidad 1998'!E16</f>
        <v>0.0100253246</v>
      </c>
      <c r="O16" s="16">
        <f>'tabla mortalidad 2018'!E16</f>
        <v>0.007035494681</v>
      </c>
      <c r="P16" s="17"/>
      <c r="Q16" s="17"/>
      <c r="S16" s="18"/>
    </row>
    <row r="17">
      <c r="A17" s="8">
        <v>60.0</v>
      </c>
      <c r="B17" s="8">
        <v>5.0</v>
      </c>
      <c r="C17" s="9">
        <v>107311.0</v>
      </c>
      <c r="D17" s="10">
        <v>1687.0</v>
      </c>
      <c r="E17" s="11">
        <f t="shared" si="1"/>
        <v>0.01572066237</v>
      </c>
      <c r="F17" s="11">
        <f t="shared" si="9"/>
        <v>2.5</v>
      </c>
      <c r="G17" s="11">
        <f t="shared" si="2"/>
        <v>0.07563089255</v>
      </c>
      <c r="H17" s="11">
        <f t="shared" si="3"/>
        <v>0.9243691074</v>
      </c>
      <c r="I17" s="13">
        <f t="shared" si="8"/>
        <v>78516.77318</v>
      </c>
      <c r="J17" s="13">
        <f t="shared" si="4"/>
        <v>5938.293636</v>
      </c>
      <c r="K17" s="13">
        <f t="shared" si="5"/>
        <v>367109.8977</v>
      </c>
      <c r="L17" s="13">
        <f t="shared" si="6"/>
        <v>1458408.75</v>
      </c>
      <c r="M17" s="14">
        <f t="shared" si="7"/>
        <v>18.57448659</v>
      </c>
      <c r="N17" s="15">
        <f>'tabla mortalidad 1998'!E17</f>
        <v>0.01572066237</v>
      </c>
      <c r="O17" s="16">
        <f>'tabla mortalidad 2018'!E17</f>
        <v>0.01036351734</v>
      </c>
      <c r="P17" s="17"/>
      <c r="Q17" s="17"/>
      <c r="S17" s="18"/>
    </row>
    <row r="18">
      <c r="A18" s="8">
        <v>65.0</v>
      </c>
      <c r="B18" s="8">
        <v>5.0</v>
      </c>
      <c r="C18" s="9">
        <v>90184.0</v>
      </c>
      <c r="D18" s="10">
        <v>2001.0</v>
      </c>
      <c r="E18" s="11">
        <f t="shared" si="1"/>
        <v>0.02218797126</v>
      </c>
      <c r="F18" s="11">
        <f t="shared" si="9"/>
        <v>2.5</v>
      </c>
      <c r="G18" s="11">
        <f t="shared" si="2"/>
        <v>0.105109443</v>
      </c>
      <c r="H18" s="11">
        <f t="shared" si="3"/>
        <v>0.894890557</v>
      </c>
      <c r="I18" s="13">
        <f t="shared" si="8"/>
        <v>72578.47954</v>
      </c>
      <c r="J18" s="13">
        <f t="shared" si="4"/>
        <v>7628.683561</v>
      </c>
      <c r="K18" s="13">
        <f t="shared" si="5"/>
        <v>329751.4799</v>
      </c>
      <c r="L18" s="13">
        <f t="shared" si="6"/>
        <v>1091298.853</v>
      </c>
      <c r="M18" s="14">
        <f t="shared" si="7"/>
        <v>15.03612172</v>
      </c>
      <c r="N18" s="15">
        <f>'tabla mortalidad 1998'!E18</f>
        <v>0.02218797126</v>
      </c>
      <c r="O18" s="16">
        <f>'tabla mortalidad 2018'!E18</f>
        <v>0.01390614281</v>
      </c>
      <c r="P18" s="17"/>
      <c r="Q18" s="17"/>
      <c r="S18" s="18"/>
    </row>
    <row r="19">
      <c r="A19" s="8">
        <v>70.0</v>
      </c>
      <c r="B19" s="8">
        <v>5.0</v>
      </c>
      <c r="C19" s="9">
        <v>66551.0</v>
      </c>
      <c r="D19" s="10">
        <v>2186.0</v>
      </c>
      <c r="E19" s="11">
        <f t="shared" si="1"/>
        <v>0.03284698953</v>
      </c>
      <c r="F19" s="11">
        <f t="shared" si="9"/>
        <v>2.5</v>
      </c>
      <c r="G19" s="11">
        <f t="shared" si="2"/>
        <v>0.1517718285</v>
      </c>
      <c r="H19" s="11">
        <f t="shared" si="3"/>
        <v>0.8482281715</v>
      </c>
      <c r="I19" s="13">
        <f t="shared" si="8"/>
        <v>64949.79598</v>
      </c>
      <c r="J19" s="13">
        <f t="shared" si="4"/>
        <v>9857.549295</v>
      </c>
      <c r="K19" s="13">
        <f t="shared" si="5"/>
        <v>280926.2334</v>
      </c>
      <c r="L19" s="13">
        <f t="shared" si="6"/>
        <v>761547.3727</v>
      </c>
      <c r="M19" s="14">
        <f t="shared" si="7"/>
        <v>11.72516959</v>
      </c>
      <c r="N19" s="15">
        <f>'tabla mortalidad 1998'!E19</f>
        <v>0.03284698953</v>
      </c>
      <c r="O19" s="16">
        <f>'tabla mortalidad 2018'!E19</f>
        <v>0.02165717422</v>
      </c>
      <c r="P19" s="17"/>
      <c r="Q19" s="17"/>
      <c r="S19" s="18"/>
    </row>
    <row r="20">
      <c r="A20" s="8">
        <v>75.0</v>
      </c>
      <c r="B20" s="8">
        <v>5.0</v>
      </c>
      <c r="C20" s="9">
        <v>40196.0</v>
      </c>
      <c r="D20" s="10">
        <v>2313.0</v>
      </c>
      <c r="E20" s="11">
        <f t="shared" si="1"/>
        <v>0.05754303911</v>
      </c>
      <c r="F20" s="11">
        <f t="shared" si="9"/>
        <v>2.5</v>
      </c>
      <c r="G20" s="11">
        <f t="shared" si="2"/>
        <v>0.2515306067</v>
      </c>
      <c r="H20" s="11">
        <f t="shared" si="3"/>
        <v>0.7484693933</v>
      </c>
      <c r="I20" s="13">
        <f t="shared" si="8"/>
        <v>55092.24668</v>
      </c>
      <c r="J20" s="13">
        <f t="shared" si="4"/>
        <v>13857.38623</v>
      </c>
      <c r="K20" s="13">
        <f t="shared" si="5"/>
        <v>211956.8023</v>
      </c>
      <c r="L20" s="13">
        <f t="shared" si="6"/>
        <v>480621.1393</v>
      </c>
      <c r="M20" s="14">
        <f t="shared" si="7"/>
        <v>8.723934277</v>
      </c>
      <c r="N20" s="15">
        <f>'tabla mortalidad 1998'!E20</f>
        <v>0.05754303911</v>
      </c>
      <c r="O20" s="16">
        <f>'tabla mortalidad 2018'!E20</f>
        <v>0.03838958048</v>
      </c>
      <c r="P20" s="17"/>
      <c r="Q20" s="17"/>
      <c r="S20" s="18"/>
    </row>
    <row r="21" ht="15.75" customHeight="1">
      <c r="A21" s="8">
        <v>80.0</v>
      </c>
      <c r="B21" s="8">
        <v>5.0</v>
      </c>
      <c r="C21" s="9">
        <v>20383.0</v>
      </c>
      <c r="D21" s="10">
        <v>2064.0</v>
      </c>
      <c r="E21" s="11">
        <f t="shared" si="1"/>
        <v>0.1012608546</v>
      </c>
      <c r="F21" s="11">
        <f t="shared" si="9"/>
        <v>2.5</v>
      </c>
      <c r="G21" s="11">
        <f t="shared" si="2"/>
        <v>0.404024586</v>
      </c>
      <c r="H21" s="11">
        <f t="shared" si="3"/>
        <v>0.595975414</v>
      </c>
      <c r="I21" s="13">
        <f t="shared" si="8"/>
        <v>41234.86045</v>
      </c>
      <c r="J21" s="13">
        <f t="shared" si="4"/>
        <v>16659.89742</v>
      </c>
      <c r="K21" s="13">
        <f t="shared" si="5"/>
        <v>128034.8151</v>
      </c>
      <c r="L21" s="13">
        <f t="shared" si="6"/>
        <v>268664.337</v>
      </c>
      <c r="M21" s="14">
        <f t="shared" si="7"/>
        <v>6.515466139</v>
      </c>
      <c r="N21" s="15">
        <f>'tabla mortalidad 1998'!E21</f>
        <v>0.1012608546</v>
      </c>
      <c r="O21" s="16">
        <f>'tabla mortalidad 2018'!E21</f>
        <v>0.06903478169</v>
      </c>
      <c r="P21" s="17"/>
      <c r="Q21" s="17"/>
      <c r="S21" s="18"/>
    </row>
    <row r="22" ht="15.75" customHeight="1">
      <c r="A22" s="8" t="s">
        <v>15</v>
      </c>
      <c r="B22" s="8"/>
      <c r="C22" s="9">
        <v>11485.0</v>
      </c>
      <c r="D22" s="10">
        <v>2007.0</v>
      </c>
      <c r="E22" s="11">
        <f t="shared" si="1"/>
        <v>0.1747496735</v>
      </c>
      <c r="F22" s="11">
        <f t="shared" si="9"/>
        <v>0</v>
      </c>
      <c r="G22" s="11">
        <v>1.0</v>
      </c>
      <c r="H22" s="11">
        <f t="shared" si="3"/>
        <v>0</v>
      </c>
      <c r="I22" s="13">
        <f t="shared" si="8"/>
        <v>24574.96303</v>
      </c>
      <c r="J22" s="13">
        <f t="shared" si="4"/>
        <v>24574.96303</v>
      </c>
      <c r="K22" s="20">
        <f>I22/E22</f>
        <v>140629.5219</v>
      </c>
      <c r="L22" s="13">
        <f>K22</f>
        <v>140629.5219</v>
      </c>
      <c r="M22" s="14">
        <f t="shared" si="7"/>
        <v>5.72247135</v>
      </c>
      <c r="N22" s="15">
        <f>'tabla mortalidad 1998'!E22</f>
        <v>0.1747496735</v>
      </c>
      <c r="O22" s="16">
        <f>'tabla mortalidad 2018'!E22</f>
        <v>0.1334375136</v>
      </c>
      <c r="P22" s="17"/>
      <c r="Q22" s="17"/>
      <c r="S22" s="1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6.5"/>
    <col customWidth="1" min="14" max="16" width="7.13"/>
    <col customWidth="1" min="17" max="26" width="11.25"/>
  </cols>
  <sheetData>
    <row r="1">
      <c r="A1" s="1" t="s">
        <v>16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5" t="s">
        <v>1</v>
      </c>
      <c r="B3" s="5" t="s">
        <v>2</v>
      </c>
      <c r="C3" s="5" t="s">
        <v>17</v>
      </c>
      <c r="D3" s="5" t="s">
        <v>18</v>
      </c>
      <c r="E3" s="6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6" t="s">
        <v>13</v>
      </c>
    </row>
    <row r="4">
      <c r="A4" s="8">
        <v>0.0</v>
      </c>
      <c r="B4" s="8">
        <v>1.0</v>
      </c>
      <c r="C4" s="9">
        <v>205636.0</v>
      </c>
      <c r="D4" s="10">
        <v>3778.0</v>
      </c>
      <c r="E4" s="11">
        <f t="shared" ref="E4:E22" si="1">D4/C4</f>
        <v>0.01837226945</v>
      </c>
      <c r="F4" s="12">
        <f>IF(E4&gt;=0.107,0.35,0.053+2.8*E4)</f>
        <v>0.1044423545</v>
      </c>
      <c r="G4" s="11">
        <f t="shared" ref="G4:G22" si="2">(B4*E4)/(1+(B4-F4)*E4)</f>
        <v>0.01807487581</v>
      </c>
      <c r="H4" s="11">
        <f t="shared" ref="H4:H22" si="3">1-G4</f>
        <v>0.9819251242</v>
      </c>
      <c r="I4" s="21">
        <v>100000.0</v>
      </c>
      <c r="J4" s="13">
        <f t="shared" ref="J4:J22" si="4">I4-I5</f>
        <v>1807.487581</v>
      </c>
      <c r="K4" s="13">
        <f t="shared" ref="K4:K21" si="5">(B4*I5)+(F4*D4)</f>
        <v>98587.09563</v>
      </c>
      <c r="L4" s="13">
        <f t="shared" ref="L4:L22" si="6">L5+K4</f>
        <v>7539192.049</v>
      </c>
      <c r="M4" s="14">
        <f t="shared" ref="M4:M22" si="7">L4/I4</f>
        <v>75.39192049</v>
      </c>
      <c r="O4" s="18"/>
    </row>
    <row r="5">
      <c r="A5" s="8">
        <v>1.0</v>
      </c>
      <c r="B5" s="8">
        <v>4.0</v>
      </c>
      <c r="C5" s="9">
        <v>796385.0</v>
      </c>
      <c r="D5" s="10">
        <v>4046.0</v>
      </c>
      <c r="E5" s="11">
        <f t="shared" si="1"/>
        <v>0.005080457316</v>
      </c>
      <c r="F5" s="19">
        <f>IF(E5&gt;=0.107,1.361,1.522-1.518*E4)</f>
        <v>1.494110895</v>
      </c>
      <c r="G5" s="11">
        <f t="shared" si="2"/>
        <v>0.02006636314</v>
      </c>
      <c r="H5" s="11">
        <f t="shared" si="3"/>
        <v>0.9799336369</v>
      </c>
      <c r="I5" s="13">
        <f t="shared" ref="I5:I22" si="8">I4*H4</f>
        <v>98192.51242</v>
      </c>
      <c r="J5" s="13">
        <f t="shared" si="4"/>
        <v>1970.366612</v>
      </c>
      <c r="K5" s="13">
        <f t="shared" si="5"/>
        <v>390933.7559</v>
      </c>
      <c r="L5" s="13">
        <f t="shared" si="6"/>
        <v>7440604.953</v>
      </c>
      <c r="M5" s="14">
        <f t="shared" si="7"/>
        <v>75.77568564</v>
      </c>
      <c r="O5" s="18"/>
    </row>
    <row r="6">
      <c r="A6" s="8">
        <v>5.0</v>
      </c>
      <c r="B6" s="8">
        <v>5.0</v>
      </c>
      <c r="C6" s="9">
        <v>952912.0</v>
      </c>
      <c r="D6" s="10">
        <v>310.0</v>
      </c>
      <c r="E6" s="11">
        <f t="shared" si="1"/>
        <v>0.0003253186023</v>
      </c>
      <c r="F6" s="22">
        <v>2.5</v>
      </c>
      <c r="G6" s="11">
        <f t="shared" si="2"/>
        <v>0.001625271184</v>
      </c>
      <c r="H6" s="11">
        <f t="shared" si="3"/>
        <v>0.9983747288</v>
      </c>
      <c r="I6" s="13">
        <f t="shared" si="8"/>
        <v>96222.14581</v>
      </c>
      <c r="J6" s="13">
        <f t="shared" si="4"/>
        <v>156.3870809</v>
      </c>
      <c r="K6" s="13">
        <f t="shared" si="5"/>
        <v>481103.7936</v>
      </c>
      <c r="L6" s="13">
        <f t="shared" si="6"/>
        <v>7049671.197</v>
      </c>
      <c r="M6" s="14">
        <f t="shared" si="7"/>
        <v>73.26453945</v>
      </c>
      <c r="O6" s="18"/>
    </row>
    <row r="7">
      <c r="A7" s="8">
        <v>10.0</v>
      </c>
      <c r="B7" s="8">
        <v>5.0</v>
      </c>
      <c r="C7" s="9">
        <v>950579.0</v>
      </c>
      <c r="D7" s="10">
        <v>397.0</v>
      </c>
      <c r="E7" s="11">
        <f t="shared" si="1"/>
        <v>0.0004176401961</v>
      </c>
      <c r="F7" s="22">
        <v>2.5</v>
      </c>
      <c r="G7" s="11">
        <f t="shared" si="2"/>
        <v>0.002086022963</v>
      </c>
      <c r="H7" s="11">
        <f t="shared" si="3"/>
        <v>0.997913977</v>
      </c>
      <c r="I7" s="13">
        <f t="shared" si="8"/>
        <v>96065.75873</v>
      </c>
      <c r="J7" s="13">
        <f t="shared" si="4"/>
        <v>200.3953787</v>
      </c>
      <c r="K7" s="13">
        <f t="shared" si="5"/>
        <v>480319.3167</v>
      </c>
      <c r="L7" s="13">
        <f t="shared" si="6"/>
        <v>6568567.404</v>
      </c>
      <c r="M7" s="14">
        <f t="shared" si="7"/>
        <v>68.37574065</v>
      </c>
      <c r="O7" s="18"/>
    </row>
    <row r="8">
      <c r="A8" s="8">
        <v>15.0</v>
      </c>
      <c r="B8" s="8">
        <v>5.0</v>
      </c>
      <c r="C8" s="9">
        <v>938826.0</v>
      </c>
      <c r="D8" s="10">
        <v>648.0</v>
      </c>
      <c r="E8" s="11">
        <f t="shared" si="1"/>
        <v>0.0006902237475</v>
      </c>
      <c r="F8" s="22">
        <v>2.5</v>
      </c>
      <c r="G8" s="11">
        <f t="shared" si="2"/>
        <v>0.003445173886</v>
      </c>
      <c r="H8" s="11">
        <f t="shared" si="3"/>
        <v>0.9965548261</v>
      </c>
      <c r="I8" s="13">
        <f t="shared" si="8"/>
        <v>95865.36335</v>
      </c>
      <c r="J8" s="13">
        <f t="shared" si="4"/>
        <v>330.2728463</v>
      </c>
      <c r="K8" s="13">
        <f t="shared" si="5"/>
        <v>479295.4525</v>
      </c>
      <c r="L8" s="13">
        <f t="shared" si="6"/>
        <v>6088248.087</v>
      </c>
      <c r="M8" s="14">
        <f t="shared" si="7"/>
        <v>63.50831911</v>
      </c>
      <c r="O8" s="18"/>
    </row>
    <row r="9">
      <c r="A9" s="8">
        <v>20.0</v>
      </c>
      <c r="B9" s="8">
        <v>5.0</v>
      </c>
      <c r="C9" s="9">
        <v>861672.0</v>
      </c>
      <c r="D9" s="10">
        <v>866.0</v>
      </c>
      <c r="E9" s="11">
        <f t="shared" si="1"/>
        <v>0.001005022793</v>
      </c>
      <c r="F9" s="22">
        <v>2.5</v>
      </c>
      <c r="G9" s="11">
        <f t="shared" si="2"/>
        <v>0.005012519723</v>
      </c>
      <c r="H9" s="11">
        <f t="shared" si="3"/>
        <v>0.9949874803</v>
      </c>
      <c r="I9" s="13">
        <f t="shared" si="8"/>
        <v>95535.0905</v>
      </c>
      <c r="J9" s="13">
        <f t="shared" si="4"/>
        <v>478.8715254</v>
      </c>
      <c r="K9" s="13">
        <f t="shared" si="5"/>
        <v>477446.0949</v>
      </c>
      <c r="L9" s="13">
        <f t="shared" si="6"/>
        <v>5608952.635</v>
      </c>
      <c r="M9" s="14">
        <f t="shared" si="7"/>
        <v>58.71091559</v>
      </c>
      <c r="O9" s="18"/>
    </row>
    <row r="10">
      <c r="A10" s="8">
        <v>25.0</v>
      </c>
      <c r="B10" s="8">
        <v>5.0</v>
      </c>
      <c r="C10" s="9">
        <v>760740.0</v>
      </c>
      <c r="D10" s="10">
        <v>950.0</v>
      </c>
      <c r="E10" s="11">
        <f t="shared" si="1"/>
        <v>0.001248784079</v>
      </c>
      <c r="F10" s="22">
        <v>2.5</v>
      </c>
      <c r="G10" s="11">
        <f t="shared" si="2"/>
        <v>0.00622448779</v>
      </c>
      <c r="H10" s="11">
        <f t="shared" si="3"/>
        <v>0.9937755122</v>
      </c>
      <c r="I10" s="13">
        <f t="shared" si="8"/>
        <v>95056.21898</v>
      </c>
      <c r="J10" s="13">
        <f t="shared" si="4"/>
        <v>591.6762744</v>
      </c>
      <c r="K10" s="13">
        <f t="shared" si="5"/>
        <v>474697.7135</v>
      </c>
      <c r="L10" s="13">
        <f t="shared" si="6"/>
        <v>5131506.54</v>
      </c>
      <c r="M10" s="14">
        <f t="shared" si="7"/>
        <v>53.98391178</v>
      </c>
      <c r="O10" s="23"/>
    </row>
    <row r="11">
      <c r="A11" s="8">
        <v>30.0</v>
      </c>
      <c r="B11" s="8">
        <v>5.0</v>
      </c>
      <c r="C11" s="9">
        <v>657081.0</v>
      </c>
      <c r="D11" s="10">
        <v>983.0</v>
      </c>
      <c r="E11" s="11">
        <f t="shared" si="1"/>
        <v>0.001496010385</v>
      </c>
      <c r="F11" s="22">
        <v>2.5</v>
      </c>
      <c r="G11" s="11">
        <f t="shared" si="2"/>
        <v>0.007452180578</v>
      </c>
      <c r="H11" s="11">
        <f t="shared" si="3"/>
        <v>0.9925478194</v>
      </c>
      <c r="I11" s="13">
        <f t="shared" si="8"/>
        <v>94464.5427</v>
      </c>
      <c r="J11" s="13">
        <f t="shared" si="4"/>
        <v>703.9668304</v>
      </c>
      <c r="K11" s="13">
        <f t="shared" si="5"/>
        <v>471260.3794</v>
      </c>
      <c r="L11" s="13">
        <f t="shared" si="6"/>
        <v>4656808.826</v>
      </c>
      <c r="M11" s="14">
        <f t="shared" si="7"/>
        <v>49.29689694</v>
      </c>
      <c r="O11" s="18"/>
    </row>
    <row r="12">
      <c r="A12" s="8">
        <v>35.0</v>
      </c>
      <c r="B12" s="8">
        <v>5.0</v>
      </c>
      <c r="C12" s="9">
        <v>575550.0</v>
      </c>
      <c r="D12" s="10">
        <v>1035.0</v>
      </c>
      <c r="E12" s="11">
        <f t="shared" si="1"/>
        <v>0.001798279906</v>
      </c>
      <c r="F12" s="22">
        <v>2.5</v>
      </c>
      <c r="G12" s="11">
        <f t="shared" si="2"/>
        <v>0.008951157813</v>
      </c>
      <c r="H12" s="11">
        <f t="shared" si="3"/>
        <v>0.9910488422</v>
      </c>
      <c r="I12" s="13">
        <f t="shared" si="8"/>
        <v>93760.57587</v>
      </c>
      <c r="J12" s="13">
        <f t="shared" si="4"/>
        <v>839.2657112</v>
      </c>
      <c r="K12" s="13">
        <f t="shared" si="5"/>
        <v>467194.0508</v>
      </c>
      <c r="L12" s="13">
        <f t="shared" si="6"/>
        <v>4185548.447</v>
      </c>
      <c r="M12" s="14">
        <f t="shared" si="7"/>
        <v>44.6408142</v>
      </c>
      <c r="O12" s="18"/>
    </row>
    <row r="13">
      <c r="A13" s="8">
        <v>40.0</v>
      </c>
      <c r="B13" s="8">
        <v>5.0</v>
      </c>
      <c r="C13" s="9">
        <v>469900.0</v>
      </c>
      <c r="D13" s="10">
        <v>1103.0</v>
      </c>
      <c r="E13" s="11">
        <f t="shared" si="1"/>
        <v>0.002347307938</v>
      </c>
      <c r="F13" s="22">
        <v>2.5</v>
      </c>
      <c r="G13" s="11">
        <f t="shared" si="2"/>
        <v>0.01166806832</v>
      </c>
      <c r="H13" s="11">
        <f t="shared" si="3"/>
        <v>0.9883319317</v>
      </c>
      <c r="I13" s="13">
        <f t="shared" si="8"/>
        <v>92921.31016</v>
      </c>
      <c r="J13" s="13">
        <f t="shared" si="4"/>
        <v>1084.212195</v>
      </c>
      <c r="K13" s="13">
        <f t="shared" si="5"/>
        <v>461942.9898</v>
      </c>
      <c r="L13" s="13">
        <f t="shared" si="6"/>
        <v>3718354.396</v>
      </c>
      <c r="M13" s="14">
        <f t="shared" si="7"/>
        <v>40.0161641</v>
      </c>
      <c r="O13" s="18"/>
    </row>
    <row r="14">
      <c r="A14" s="8">
        <v>45.0</v>
      </c>
      <c r="B14" s="8">
        <v>5.0</v>
      </c>
      <c r="C14" s="9">
        <v>373614.0</v>
      </c>
      <c r="D14" s="10">
        <v>1218.0</v>
      </c>
      <c r="E14" s="11">
        <f t="shared" si="1"/>
        <v>0.003260049142</v>
      </c>
      <c r="F14" s="22">
        <v>2.5</v>
      </c>
      <c r="G14" s="11">
        <f t="shared" si="2"/>
        <v>0.01616847069</v>
      </c>
      <c r="H14" s="11">
        <f t="shared" si="3"/>
        <v>0.9838315293</v>
      </c>
      <c r="I14" s="13">
        <f t="shared" si="8"/>
        <v>91837.09797</v>
      </c>
      <c r="J14" s="13">
        <f t="shared" si="4"/>
        <v>1484.865426</v>
      </c>
      <c r="K14" s="13">
        <f t="shared" si="5"/>
        <v>454806.1627</v>
      </c>
      <c r="L14" s="13">
        <f t="shared" si="6"/>
        <v>3256411.406</v>
      </c>
      <c r="M14" s="14">
        <f t="shared" si="7"/>
        <v>35.45856172</v>
      </c>
      <c r="O14" s="18"/>
    </row>
    <row r="15">
      <c r="A15" s="8">
        <v>50.0</v>
      </c>
      <c r="B15" s="8">
        <v>5.0</v>
      </c>
      <c r="C15" s="9">
        <v>299210.0</v>
      </c>
      <c r="D15" s="10">
        <v>1415.0</v>
      </c>
      <c r="E15" s="11">
        <f t="shared" si="1"/>
        <v>0.004729120016</v>
      </c>
      <c r="F15" s="22">
        <v>2.5</v>
      </c>
      <c r="G15" s="11">
        <f t="shared" si="2"/>
        <v>0.02336930941</v>
      </c>
      <c r="H15" s="11">
        <f t="shared" si="3"/>
        <v>0.9766306906</v>
      </c>
      <c r="I15" s="13">
        <f t="shared" si="8"/>
        <v>90352.23254</v>
      </c>
      <c r="J15" s="13">
        <f t="shared" si="4"/>
        <v>2111.469278</v>
      </c>
      <c r="K15" s="13">
        <f t="shared" si="5"/>
        <v>444741.3163</v>
      </c>
      <c r="L15" s="13">
        <f t="shared" si="6"/>
        <v>2801605.243</v>
      </c>
      <c r="M15" s="14">
        <f t="shared" si="7"/>
        <v>31.00759289</v>
      </c>
      <c r="O15" s="18"/>
    </row>
    <row r="16">
      <c r="A16" s="8">
        <v>55.0</v>
      </c>
      <c r="B16" s="8">
        <v>5.0</v>
      </c>
      <c r="C16" s="9">
        <v>245896.0</v>
      </c>
      <c r="D16" s="10">
        <v>1730.0</v>
      </c>
      <c r="E16" s="11">
        <f t="shared" si="1"/>
        <v>0.007035494681</v>
      </c>
      <c r="F16" s="22">
        <v>2.5</v>
      </c>
      <c r="G16" s="11">
        <f t="shared" si="2"/>
        <v>0.03456944061</v>
      </c>
      <c r="H16" s="11">
        <f t="shared" si="3"/>
        <v>0.9654305594</v>
      </c>
      <c r="I16" s="13">
        <f t="shared" si="8"/>
        <v>88240.76326</v>
      </c>
      <c r="J16" s="13">
        <f t="shared" si="4"/>
        <v>3050.433825</v>
      </c>
      <c r="K16" s="13">
        <f t="shared" si="5"/>
        <v>430276.6472</v>
      </c>
      <c r="L16" s="13">
        <f t="shared" si="6"/>
        <v>2356863.927</v>
      </c>
      <c r="M16" s="14">
        <f t="shared" si="7"/>
        <v>26.70946896</v>
      </c>
      <c r="O16" s="18"/>
    </row>
    <row r="17">
      <c r="A17" s="8">
        <v>60.0</v>
      </c>
      <c r="B17" s="8">
        <v>5.0</v>
      </c>
      <c r="C17" s="9">
        <v>207748.0</v>
      </c>
      <c r="D17" s="10">
        <v>2153.0</v>
      </c>
      <c r="E17" s="11">
        <f t="shared" si="1"/>
        <v>0.01036351734</v>
      </c>
      <c r="F17" s="22">
        <v>2.5</v>
      </c>
      <c r="G17" s="11">
        <f t="shared" si="2"/>
        <v>0.05050896047</v>
      </c>
      <c r="H17" s="11">
        <f t="shared" si="3"/>
        <v>0.9494910395</v>
      </c>
      <c r="I17" s="13">
        <f t="shared" si="8"/>
        <v>85190.32944</v>
      </c>
      <c r="J17" s="13">
        <f t="shared" si="4"/>
        <v>4302.874982</v>
      </c>
      <c r="K17" s="13">
        <f t="shared" si="5"/>
        <v>409819.7723</v>
      </c>
      <c r="L17" s="13">
        <f t="shared" si="6"/>
        <v>1926587.28</v>
      </c>
      <c r="M17" s="14">
        <f t="shared" si="7"/>
        <v>22.61509367</v>
      </c>
      <c r="O17" s="18"/>
    </row>
    <row r="18">
      <c r="A18" s="8">
        <v>65.0</v>
      </c>
      <c r="B18" s="8">
        <v>5.0</v>
      </c>
      <c r="C18" s="9">
        <v>161799.0</v>
      </c>
      <c r="D18" s="10">
        <v>2250.0</v>
      </c>
      <c r="E18" s="11">
        <f t="shared" si="1"/>
        <v>0.01390614281</v>
      </c>
      <c r="F18" s="22">
        <v>2.5</v>
      </c>
      <c r="G18" s="11">
        <f t="shared" si="2"/>
        <v>0.06719466743</v>
      </c>
      <c r="H18" s="11">
        <f t="shared" si="3"/>
        <v>0.9328053326</v>
      </c>
      <c r="I18" s="13">
        <f t="shared" si="8"/>
        <v>80887.45445</v>
      </c>
      <c r="J18" s="13">
        <f t="shared" si="4"/>
        <v>5435.205601</v>
      </c>
      <c r="K18" s="13">
        <f t="shared" si="5"/>
        <v>382886.2443</v>
      </c>
      <c r="L18" s="13">
        <f t="shared" si="6"/>
        <v>1516767.508</v>
      </c>
      <c r="M18" s="14">
        <f t="shared" si="7"/>
        <v>18.75157919</v>
      </c>
      <c r="O18" s="18"/>
      <c r="P18" s="24"/>
    </row>
    <row r="19">
      <c r="A19" s="8">
        <v>70.0</v>
      </c>
      <c r="B19" s="8">
        <v>5.0</v>
      </c>
      <c r="C19" s="9">
        <v>111141.0</v>
      </c>
      <c r="D19" s="10">
        <v>2407.0</v>
      </c>
      <c r="E19" s="11">
        <f t="shared" si="1"/>
        <v>0.02165717422</v>
      </c>
      <c r="F19" s="22">
        <v>2.5</v>
      </c>
      <c r="G19" s="11">
        <f t="shared" si="2"/>
        <v>0.1027240875</v>
      </c>
      <c r="H19" s="11">
        <f t="shared" si="3"/>
        <v>0.8972759125</v>
      </c>
      <c r="I19" s="13">
        <f t="shared" si="8"/>
        <v>75452.24885</v>
      </c>
      <c r="J19" s="13">
        <f t="shared" si="4"/>
        <v>7750.76341</v>
      </c>
      <c r="K19" s="13">
        <f t="shared" si="5"/>
        <v>344524.9272</v>
      </c>
      <c r="L19" s="13">
        <f t="shared" si="6"/>
        <v>1133881.263</v>
      </c>
      <c r="M19" s="14">
        <f t="shared" si="7"/>
        <v>15.02779945</v>
      </c>
      <c r="O19" s="18"/>
    </row>
    <row r="20">
      <c r="A20" s="8">
        <v>75.0</v>
      </c>
      <c r="B20" s="8">
        <v>5.0</v>
      </c>
      <c r="C20" s="9">
        <v>83382.0</v>
      </c>
      <c r="D20" s="10">
        <v>3201.0</v>
      </c>
      <c r="E20" s="11">
        <f t="shared" si="1"/>
        <v>0.03838958048</v>
      </c>
      <c r="F20" s="22">
        <v>2.5</v>
      </c>
      <c r="G20" s="11">
        <f t="shared" si="2"/>
        <v>0.17513911</v>
      </c>
      <c r="H20" s="11">
        <f t="shared" si="3"/>
        <v>0.82486089</v>
      </c>
      <c r="I20" s="13">
        <f t="shared" si="8"/>
        <v>67701.48544</v>
      </c>
      <c r="J20" s="13">
        <f t="shared" si="4"/>
        <v>11857.17791</v>
      </c>
      <c r="K20" s="13">
        <f t="shared" si="5"/>
        <v>287224.0377</v>
      </c>
      <c r="L20" s="13">
        <f t="shared" si="6"/>
        <v>789356.3363</v>
      </c>
      <c r="M20" s="14">
        <f t="shared" si="7"/>
        <v>11.6593651</v>
      </c>
      <c r="O20" s="18"/>
    </row>
    <row r="21" ht="15.75" customHeight="1">
      <c r="A21" s="8">
        <v>80.0</v>
      </c>
      <c r="B21" s="8">
        <v>5.0</v>
      </c>
      <c r="C21" s="9">
        <v>56754.0</v>
      </c>
      <c r="D21" s="10">
        <v>3918.0</v>
      </c>
      <c r="E21" s="11">
        <f t="shared" si="1"/>
        <v>0.06903478169</v>
      </c>
      <c r="F21" s="22">
        <v>2.5</v>
      </c>
      <c r="G21" s="11">
        <f t="shared" si="2"/>
        <v>0.2943695623</v>
      </c>
      <c r="H21" s="11">
        <f t="shared" si="3"/>
        <v>0.7056304377</v>
      </c>
      <c r="I21" s="13">
        <f t="shared" si="8"/>
        <v>55844.30753</v>
      </c>
      <c r="J21" s="13">
        <f t="shared" si="4"/>
        <v>16438.86436</v>
      </c>
      <c r="K21" s="13">
        <f t="shared" si="5"/>
        <v>206822.2159</v>
      </c>
      <c r="L21" s="13">
        <f t="shared" si="6"/>
        <v>502132.2986</v>
      </c>
      <c r="M21" s="14">
        <f t="shared" si="7"/>
        <v>8.991646969</v>
      </c>
      <c r="O21" s="18"/>
    </row>
    <row r="22" ht="15.75" customHeight="1">
      <c r="A22" s="8" t="s">
        <v>15</v>
      </c>
      <c r="B22" s="8">
        <v>5.0</v>
      </c>
      <c r="C22" s="9">
        <v>46074.0</v>
      </c>
      <c r="D22" s="10">
        <v>6148.0</v>
      </c>
      <c r="E22" s="11">
        <f t="shared" si="1"/>
        <v>0.1334375136</v>
      </c>
      <c r="F22" s="25">
        <v>0.0</v>
      </c>
      <c r="G22" s="11">
        <f t="shared" si="2"/>
        <v>0.4001874658</v>
      </c>
      <c r="H22" s="11">
        <f t="shared" si="3"/>
        <v>0.5998125342</v>
      </c>
      <c r="I22" s="13">
        <f t="shared" si="8"/>
        <v>39405.44317</v>
      </c>
      <c r="J22" s="13">
        <f t="shared" si="4"/>
        <v>39405.44317</v>
      </c>
      <c r="K22" s="13">
        <f>I22/E22</f>
        <v>295310.0827</v>
      </c>
      <c r="L22" s="13">
        <f t="shared" si="6"/>
        <v>295310.0827</v>
      </c>
      <c r="M22" s="14">
        <f t="shared" si="7"/>
        <v>7.494144437</v>
      </c>
      <c r="O22" s="18"/>
    </row>
    <row r="23" ht="15.75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5.75" customHeight="1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5.75" customHeight="1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5.7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5.75" customHeight="1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5.75" customHeight="1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5.75" customHeight="1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5.75" customHeight="1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5.75" customHeight="1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5.75" customHeight="1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5.75" customHeight="1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5.75" customHeight="1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5.75" customHeight="1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5.75" customHeight="1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5.75" customHeight="1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5.75" customHeight="1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5.75" customHeight="1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5.75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5.7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5.7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5.7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5.7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5.7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5.75" customHeight="1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5.7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5.7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5.7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5.7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5.7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5.7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5.7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5.7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5.7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5.75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5.7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5.7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5.7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5.75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5.7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5.75" customHeight="1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5.75" customHeight="1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5.75" customHeight="1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5.75" customHeight="1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5.75" customHeight="1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5.7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5.75" customHeight="1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5.7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5.7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5.75" customHeight="1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5.7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5.7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5.7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5.75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5.75" customHeight="1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5.7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5.7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5.75" customHeight="1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5.75" customHeight="1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5.7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5.75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5.75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5.75" customHeight="1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5.75" customHeight="1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5.75" customHeight="1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5.75" customHeight="1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5.75" customHeight="1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5.75" customHeight="1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5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5.75" customHeight="1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5.75" customHeight="1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5.7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5.75" customHeight="1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5.75" customHeight="1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5.75" customHeight="1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5.75" customHeight="1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5.75" customHeight="1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5.75" customHeight="1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2019-11-19T15:28:54Z</dcterms:created>
  <dc:creator>Maria Cecilia Villarroel</dc:creator>
</cp:coreProperties>
</file>