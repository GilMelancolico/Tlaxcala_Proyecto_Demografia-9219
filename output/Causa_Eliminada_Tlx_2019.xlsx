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crementos Múltiples" sheetId="1" r:id="rId5"/>
    <sheet state="visible" name="LT" sheetId="2" r:id="rId6"/>
    <sheet state="visible" name="Homicidios" sheetId="3" r:id="rId7"/>
    <sheet state="visible" name="Defunciones generales" sheetId="4" r:id="rId8"/>
  </sheets>
  <definedNames>
    <definedName name="UN">#REF!</definedName>
    <definedName name="Coeffs_121">#REF!</definedName>
    <definedName name="Coeffs_143">#REF!</definedName>
    <definedName name="Family">#REF!</definedName>
    <definedName name="Coeffs_221">#REF!</definedName>
    <definedName name="Coeffs_141">#REF!</definedName>
    <definedName name="Coeffs_251">#REF!</definedName>
    <definedName name="Coeffs_231">#REF!</definedName>
    <definedName name="Princeton">#REF!</definedName>
    <definedName name="Coeffs_131">#REF!</definedName>
    <definedName name="Coeffs_211">#REF!</definedName>
    <definedName name="Coeffs_113">#REF!</definedName>
    <definedName name="Variant">#REF!</definedName>
    <definedName name="Coeffs_123">#REF!</definedName>
    <definedName name="Coeffs_112">#REF!</definedName>
    <definedName name="Coeffs_132">#REF!</definedName>
    <definedName name="Coeffs_133">#REF!</definedName>
    <definedName name="Coeffs_111">#REF!</definedName>
    <definedName name="Coeffs_142">#REF!</definedName>
    <definedName name="TypeSelect">#REF!</definedName>
    <definedName name="Coeffs_122">#REF!</definedName>
    <definedName name="Coeffs_241">#REF!</definedName>
    <definedName name="Sex">#REF!</definedName>
    <definedName name="FamSelect">#REF!</definedName>
  </definedNames>
  <calcPr/>
</workbook>
</file>

<file path=xl/sharedStrings.xml><?xml version="1.0" encoding="utf-8"?>
<sst xmlns="http://schemas.openxmlformats.org/spreadsheetml/2006/main" count="212" uniqueCount="41">
  <si>
    <t>Hombres, 2019</t>
  </si>
  <si>
    <t>Age x</t>
  </si>
  <si>
    <t>n</t>
  </si>
  <si>
    <t>nDx</t>
  </si>
  <si>
    <t>nDxi</t>
  </si>
  <si>
    <t>nqx</t>
  </si>
  <si>
    <t>e0</t>
  </si>
  <si>
    <t>nqx_i</t>
  </si>
  <si>
    <t>ndx_i</t>
  </si>
  <si>
    <t>L</t>
  </si>
  <si>
    <t>T</t>
  </si>
  <si>
    <t>e0_i</t>
  </si>
  <si>
    <t>diff</t>
  </si>
  <si>
    <t>Número de años que se espera 
que viva un hombre de 0 años 
hasta llegar a los 85 años.</t>
  </si>
  <si>
    <t>Sin COVID</t>
  </si>
  <si>
    <t>Con COVID</t>
  </si>
  <si>
    <t>Diff</t>
  </si>
  <si>
    <t>Mujeres, 2019</t>
  </si>
  <si>
    <t>Hombres</t>
  </si>
  <si>
    <t>Mujeres</t>
  </si>
  <si>
    <t>Sin homicidios</t>
  </si>
  <si>
    <t>Número de años que se espera 
que viva una mujer de 0 años 
hasta llegar a los 85 años.</t>
  </si>
  <si>
    <t>Con homicidios</t>
  </si>
  <si>
    <t>lt_desc</t>
  </si>
  <si>
    <t>year</t>
  </si>
  <si>
    <t>sex</t>
  </si>
  <si>
    <t>age</t>
  </si>
  <si>
    <t>mx</t>
  </si>
  <si>
    <t>qx</t>
  </si>
  <si>
    <t>ax</t>
  </si>
  <si>
    <t>lx</t>
  </si>
  <si>
    <t>dx</t>
  </si>
  <si>
    <t>Lx</t>
  </si>
  <si>
    <t>Tx</t>
  </si>
  <si>
    <t>ex</t>
  </si>
  <si>
    <t>LT VR/Census, MEX</t>
  </si>
  <si>
    <t>h</t>
  </si>
  <si>
    <t>NA</t>
  </si>
  <si>
    <t>m</t>
  </si>
  <si>
    <t>deaths</t>
  </si>
  <si>
    <t>male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</si>
</sst>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000"/>
    <numFmt numFmtId="165" formatCode="#,##0.0000"/>
    <numFmt numFmtId="166" formatCode="0.000"/>
  </numFmts>
  <fonts count="10">
    <font>
      <sz val="11.0"/>
      <color theme="1"/>
      <name val="Calibri"/>
      <scheme val="minor"/>
    </font>
    <font>
      <b/>
      <sz val="11.0"/>
      <color theme="1"/>
      <name val="Calibri"/>
    </font>
    <font/>
    <font>
      <sz val="11.0"/>
      <color rgb="FF000000"/>
      <name val="Georgia"/>
    </font>
    <font>
      <sz val="11.0"/>
      <color theme="1"/>
      <name val="Calibri"/>
    </font>
    <font>
      <sz val="11.0"/>
      <color rgb="FF000000"/>
      <name val="Calibri"/>
    </font>
    <font>
      <sz val="11.0"/>
      <color theme="0"/>
      <name val="Calibri"/>
    </font>
    <font>
      <color theme="1"/>
      <name val="Arial"/>
    </font>
    <font>
      <b/>
      <sz val="11.0"/>
      <color rgb="FF000000"/>
      <name val="Georgia"/>
    </font>
    <font>
      <color theme="1"/>
      <name val="Calibri"/>
      <scheme val="minor"/>
    </font>
  </fonts>
  <fills count="11">
    <fill>
      <patternFill patternType="none"/>
    </fill>
    <fill>
      <patternFill patternType="lightGray"/>
    </fill>
    <fill>
      <patternFill patternType="solid">
        <fgColor rgb="FFDAEEF3"/>
        <bgColor rgb="FFDAEEF3"/>
      </patternFill>
    </fill>
    <fill>
      <patternFill patternType="solid">
        <fgColor rgb="FFB6DDE8"/>
        <bgColor rgb="FFB6DDE8"/>
      </patternFill>
    </fill>
    <fill>
      <patternFill patternType="solid">
        <fgColor rgb="FF92CDDC"/>
        <bgColor rgb="FF92CDDC"/>
      </patternFill>
    </fill>
    <fill>
      <patternFill patternType="solid">
        <fgColor rgb="FFFBD4B4"/>
        <bgColor rgb="FFFBD4B4"/>
      </patternFill>
    </fill>
    <fill>
      <patternFill patternType="solid">
        <fgColor rgb="FFFABF8F"/>
        <bgColor rgb="FFFABF8F"/>
      </patternFill>
    </fill>
    <fill>
      <patternFill patternType="solid">
        <fgColor theme="9"/>
        <bgColor theme="9"/>
      </patternFill>
    </fill>
    <fill>
      <patternFill patternType="solid">
        <fgColor rgb="FFA4C2F4"/>
        <bgColor rgb="FFA4C2F4"/>
      </patternFill>
    </fill>
    <fill>
      <patternFill patternType="solid">
        <fgColor rgb="FFF6B26B"/>
        <bgColor rgb="FFF6B26B"/>
      </patternFill>
    </fill>
    <fill>
      <patternFill patternType="solid">
        <fgColor rgb="FF6FA8DC"/>
        <bgColor rgb="FF6FA8DC"/>
      </patternFill>
    </fill>
  </fills>
  <borders count="17">
    <border/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/>
      <right/>
      <top/>
      <bottom/>
    </border>
    <border>
      <right style="thin">
        <color rgb="FF000000"/>
      </right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/>
      <right/>
      <top/>
      <bottom style="thin">
        <color rgb="FF000000"/>
      </bottom>
    </border>
  </borders>
  <cellStyleXfs count="1">
    <xf borderId="0" fillId="0" fontId="0" numFmtId="0" applyAlignment="1" applyFont="1"/>
  </cellStyleXfs>
  <cellXfs count="7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4" fillId="0" fontId="3" numFmtId="0" xfId="0" applyAlignment="1" applyBorder="1" applyFont="1">
      <alignment horizontal="center" vertical="center"/>
    </xf>
    <xf borderId="5" fillId="0" fontId="4" numFmtId="0" xfId="0" applyAlignment="1" applyBorder="1" applyFont="1">
      <alignment horizontal="center" vertical="center"/>
    </xf>
    <xf borderId="5" fillId="0" fontId="5" numFmtId="0" xfId="0" applyAlignment="1" applyBorder="1" applyFont="1">
      <alignment horizontal="center" vertical="center"/>
    </xf>
    <xf borderId="5" fillId="0" fontId="6" numFmtId="0" xfId="0" applyAlignment="1" applyBorder="1" applyFont="1">
      <alignment horizontal="center" vertical="center"/>
    </xf>
    <xf borderId="6" fillId="0" fontId="4" numFmtId="0" xfId="0" applyAlignment="1" applyBorder="1" applyFont="1">
      <alignment horizontal="center" vertical="center"/>
    </xf>
    <xf borderId="7" fillId="0" fontId="3" numFmtId="0" xfId="0" applyAlignment="1" applyBorder="1" applyFont="1">
      <alignment horizontal="center"/>
    </xf>
    <xf borderId="0" fillId="0" fontId="3" numFmtId="0" xfId="0" applyAlignment="1" applyFont="1">
      <alignment horizontal="center"/>
    </xf>
    <xf borderId="0" fillId="0" fontId="7" numFmtId="3" xfId="0" applyAlignment="1" applyFont="1" applyNumberFormat="1">
      <alignment horizontal="right" vertical="bottom"/>
    </xf>
    <xf borderId="0" fillId="0" fontId="3" numFmtId="2" xfId="0" applyAlignment="1" applyFont="1" applyNumberFormat="1">
      <alignment horizontal="center"/>
    </xf>
    <xf borderId="8" fillId="3" fontId="3" numFmtId="3" xfId="0" applyAlignment="1" applyBorder="1" applyFill="1" applyFont="1" applyNumberFormat="1">
      <alignment horizontal="center"/>
    </xf>
    <xf borderId="8" fillId="3" fontId="3" numFmtId="164" xfId="0" applyAlignment="1" applyBorder="1" applyFont="1" applyNumberFormat="1">
      <alignment horizontal="center"/>
    </xf>
    <xf borderId="0" fillId="0" fontId="3" numFmtId="164" xfId="0" applyAlignment="1" applyFont="1" applyNumberFormat="1">
      <alignment horizontal="center"/>
    </xf>
    <xf borderId="8" fillId="3" fontId="3" numFmtId="0" xfId="0" applyAlignment="1" applyBorder="1" applyFont="1">
      <alignment horizontal="center"/>
    </xf>
    <xf borderId="8" fillId="4" fontId="8" numFmtId="2" xfId="0" applyAlignment="1" applyBorder="1" applyFill="1" applyFont="1" applyNumberFormat="1">
      <alignment horizontal="center"/>
    </xf>
    <xf borderId="0" fillId="0" fontId="3" numFmtId="165" xfId="0" applyAlignment="1" applyFont="1" applyNumberFormat="1">
      <alignment horizontal="center"/>
    </xf>
    <xf borderId="0" fillId="0" fontId="3" numFmtId="3" xfId="0" applyAlignment="1" applyFont="1" applyNumberFormat="1">
      <alignment horizontal="center"/>
    </xf>
    <xf borderId="0" fillId="0" fontId="3" numFmtId="166" xfId="0" applyAlignment="1" applyFont="1" applyNumberFormat="1">
      <alignment horizontal="center"/>
    </xf>
    <xf borderId="9" fillId="0" fontId="4" numFmtId="2" xfId="0" applyBorder="1" applyFont="1" applyNumberFormat="1"/>
    <xf borderId="8" fillId="3" fontId="3" numFmtId="2" xfId="0" applyAlignment="1" applyBorder="1" applyFont="1" applyNumberFormat="1">
      <alignment horizontal="center"/>
    </xf>
    <xf borderId="10" fillId="0" fontId="4" numFmtId="0" xfId="0" applyAlignment="1" applyBorder="1" applyFont="1">
      <alignment horizontal="center" shrinkToFit="0" vertical="center" wrapText="1"/>
    </xf>
    <xf borderId="11" fillId="0" fontId="2" numFmtId="0" xfId="0" applyBorder="1" applyFont="1"/>
    <xf borderId="7" fillId="0" fontId="2" numFmtId="0" xfId="0" applyBorder="1" applyFont="1"/>
    <xf borderId="9" fillId="0" fontId="2" numFmtId="0" xfId="0" applyBorder="1" applyFont="1"/>
    <xf borderId="12" fillId="0" fontId="2" numFmtId="0" xfId="0" applyBorder="1" applyFont="1"/>
    <xf borderId="13" fillId="0" fontId="2" numFmtId="0" xfId="0" applyBorder="1" applyFont="1"/>
    <xf borderId="14" fillId="0" fontId="1" numFmtId="0" xfId="0" applyAlignment="1" applyBorder="1" applyFont="1">
      <alignment horizontal="center" vertical="center"/>
    </xf>
    <xf borderId="14" fillId="0" fontId="4" numFmtId="2" xfId="0" applyBorder="1" applyFont="1" applyNumberFormat="1"/>
    <xf borderId="14" fillId="0" fontId="1" numFmtId="0" xfId="0" applyBorder="1" applyFont="1"/>
    <xf borderId="12" fillId="0" fontId="3" numFmtId="0" xfId="0" applyAlignment="1" applyBorder="1" applyFont="1">
      <alignment horizontal="center"/>
    </xf>
    <xf borderId="15" fillId="0" fontId="3" numFmtId="0" xfId="0" applyAlignment="1" applyBorder="1" applyFont="1">
      <alignment horizontal="center"/>
    </xf>
    <xf borderId="0" fillId="0" fontId="9" numFmtId="3" xfId="0" applyAlignment="1" applyFont="1" applyNumberFormat="1">
      <alignment readingOrder="0"/>
    </xf>
    <xf borderId="15" fillId="0" fontId="3" numFmtId="2" xfId="0" applyAlignment="1" applyBorder="1" applyFont="1" applyNumberFormat="1">
      <alignment horizontal="center"/>
    </xf>
    <xf borderId="16" fillId="3" fontId="3" numFmtId="3" xfId="0" applyAlignment="1" applyBorder="1" applyFont="1" applyNumberFormat="1">
      <alignment horizontal="center"/>
    </xf>
    <xf borderId="16" fillId="3" fontId="3" numFmtId="164" xfId="0" applyAlignment="1" applyBorder="1" applyFont="1" applyNumberFormat="1">
      <alignment horizontal="center"/>
    </xf>
    <xf borderId="15" fillId="0" fontId="3" numFmtId="164" xfId="0" applyAlignment="1" applyBorder="1" applyFont="1" applyNumberFormat="1">
      <alignment horizontal="center"/>
    </xf>
    <xf borderId="16" fillId="3" fontId="3" numFmtId="0" xfId="0" applyAlignment="1" applyBorder="1" applyFont="1">
      <alignment horizontal="center"/>
    </xf>
    <xf borderId="16" fillId="3" fontId="3" numFmtId="2" xfId="0" applyAlignment="1" applyBorder="1" applyFont="1" applyNumberFormat="1">
      <alignment horizontal="center"/>
    </xf>
    <xf borderId="15" fillId="0" fontId="3" numFmtId="165" xfId="0" applyAlignment="1" applyBorder="1" applyFont="1" applyNumberFormat="1">
      <alignment horizontal="center"/>
    </xf>
    <xf borderId="15" fillId="0" fontId="3" numFmtId="3" xfId="0" applyAlignment="1" applyBorder="1" applyFont="1" applyNumberFormat="1">
      <alignment horizontal="center"/>
    </xf>
    <xf borderId="15" fillId="0" fontId="3" numFmtId="166" xfId="0" applyAlignment="1" applyBorder="1" applyFont="1" applyNumberFormat="1">
      <alignment horizontal="center"/>
    </xf>
    <xf borderId="13" fillId="0" fontId="4" numFmtId="2" xfId="0" applyBorder="1" applyFont="1" applyNumberFormat="1"/>
    <xf borderId="1" fillId="5" fontId="1" numFmtId="0" xfId="0" applyAlignment="1" applyBorder="1" applyFill="1" applyFont="1">
      <alignment horizontal="center"/>
    </xf>
    <xf borderId="0" fillId="0" fontId="5" numFmtId="0" xfId="0" applyAlignment="1" applyFont="1">
      <alignment horizontal="left"/>
    </xf>
    <xf borderId="0" fillId="0" fontId="1" numFmtId="0" xfId="0" applyFont="1"/>
    <xf borderId="8" fillId="6" fontId="3" numFmtId="3" xfId="0" applyAlignment="1" applyBorder="1" applyFill="1" applyFont="1" applyNumberFormat="1">
      <alignment horizontal="center"/>
    </xf>
    <xf borderId="8" fillId="6" fontId="3" numFmtId="164" xfId="0" applyAlignment="1" applyBorder="1" applyFont="1" applyNumberFormat="1">
      <alignment horizontal="center"/>
    </xf>
    <xf borderId="8" fillId="6" fontId="3" numFmtId="0" xfId="0" applyAlignment="1" applyBorder="1" applyFont="1">
      <alignment horizontal="center"/>
    </xf>
    <xf borderId="8" fillId="7" fontId="8" numFmtId="2" xfId="0" applyAlignment="1" applyBorder="1" applyFill="1" applyFont="1" applyNumberFormat="1">
      <alignment horizontal="center"/>
    </xf>
    <xf borderId="14" fillId="0" fontId="4" numFmtId="0" xfId="0" applyBorder="1" applyFont="1"/>
    <xf borderId="8" fillId="6" fontId="3" numFmtId="2" xfId="0" applyAlignment="1" applyBorder="1" applyFont="1" applyNumberFormat="1">
      <alignment horizontal="center"/>
    </xf>
    <xf borderId="0" fillId="0" fontId="4" numFmtId="0" xfId="0" applyAlignment="1" applyFont="1">
      <alignment horizontal="center"/>
    </xf>
    <xf borderId="0" fillId="0" fontId="4" numFmtId="2" xfId="0" applyFont="1" applyNumberFormat="1"/>
    <xf borderId="16" fillId="6" fontId="3" numFmtId="3" xfId="0" applyAlignment="1" applyBorder="1" applyFont="1" applyNumberFormat="1">
      <alignment horizontal="center" readingOrder="0"/>
    </xf>
    <xf borderId="16" fillId="6" fontId="3" numFmtId="3" xfId="0" applyAlignment="1" applyBorder="1" applyFont="1" applyNumberFormat="1">
      <alignment horizontal="center"/>
    </xf>
    <xf borderId="16" fillId="6" fontId="3" numFmtId="164" xfId="0" applyAlignment="1" applyBorder="1" applyFont="1" applyNumberFormat="1">
      <alignment horizontal="center"/>
    </xf>
    <xf borderId="16" fillId="6" fontId="3" numFmtId="0" xfId="0" applyAlignment="1" applyBorder="1" applyFont="1">
      <alignment horizontal="center"/>
    </xf>
    <xf borderId="16" fillId="6" fontId="3" numFmtId="2" xfId="0" applyAlignment="1" applyBorder="1" applyFont="1" applyNumberFormat="1">
      <alignment horizontal="center"/>
    </xf>
    <xf borderId="0" fillId="0" fontId="9" numFmtId="0" xfId="0" applyFont="1"/>
    <xf borderId="0" fillId="0" fontId="4" numFmtId="0" xfId="0" applyFont="1"/>
    <xf borderId="0" fillId="0" fontId="9" numFmtId="11" xfId="0" applyAlignment="1" applyFont="1" applyNumberFormat="1">
      <alignment readingOrder="0"/>
    </xf>
    <xf borderId="8" fillId="4" fontId="4" numFmtId="0" xfId="0" applyBorder="1" applyFont="1"/>
    <xf borderId="8" fillId="4" fontId="4" numFmtId="0" xfId="0" applyAlignment="1" applyBorder="1" applyFont="1">
      <alignment readingOrder="0"/>
    </xf>
    <xf borderId="0" fillId="0" fontId="9" numFmtId="0" xfId="0" applyAlignment="1" applyFont="1">
      <alignment readingOrder="0"/>
    </xf>
    <xf borderId="8" fillId="6" fontId="4" numFmtId="0" xfId="0" applyBorder="1" applyFont="1"/>
    <xf borderId="8" fillId="6" fontId="4" numFmtId="0" xfId="0" applyAlignment="1" applyBorder="1" applyFont="1">
      <alignment readingOrder="0"/>
    </xf>
    <xf borderId="0" fillId="0" fontId="5" numFmtId="0" xfId="0" applyAlignment="1" applyFont="1">
      <alignment readingOrder="0" shrinkToFit="0" vertical="bottom" wrapText="0"/>
    </xf>
    <xf borderId="0" fillId="0" fontId="7" numFmtId="0" xfId="0" applyAlignment="1" applyFont="1">
      <alignment horizontal="right" vertical="bottom"/>
    </xf>
    <xf borderId="0" fillId="8" fontId="9" numFmtId="0" xfId="0" applyFill="1" applyFont="1"/>
    <xf borderId="0" fillId="9" fontId="9" numFmtId="0" xfId="0" applyFill="1" applyFont="1"/>
    <xf borderId="0" fillId="0" fontId="4" numFmtId="0" xfId="0" applyAlignment="1" applyFont="1">
      <alignment vertical="bottom"/>
    </xf>
    <xf borderId="0" fillId="10" fontId="9" numFmtId="0" xfId="0" applyFill="1" applyFont="1"/>
    <xf borderId="0" fillId="0" fontId="4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800">
                <a:solidFill>
                  <a:srgbClr val="757575"/>
                </a:solidFill>
                <a:latin typeface="+mn-lt"/>
              </a:defRPr>
            </a:pPr>
            <a:r>
              <a:rPr b="0" i="0" sz="1800">
                <a:solidFill>
                  <a:srgbClr val="757575"/>
                </a:solidFill>
                <a:latin typeface="+mn-lt"/>
              </a:rPr>
              <a:t>Mujeres</a:t>
            </a:r>
          </a:p>
        </c:rich>
      </c:tx>
      <c:overlay val="0"/>
    </c:title>
    <c:plotArea>
      <c:layout/>
      <c:lineChart>
        <c:ser>
          <c:idx val="0"/>
          <c:order val="0"/>
          <c:tx>
            <c:v>nqx</c:v>
          </c:tx>
          <c:spPr>
            <a:ln cmpd="sng">
              <a:solidFill>
                <a:srgbClr val="7030A0"/>
              </a:solidFill>
            </a:ln>
          </c:spPr>
          <c:marker>
            <c:symbol val="none"/>
          </c:marker>
          <c:cat>
            <c:strRef>
              <c:f>'Decrementos Múltiples'!$B$27:$B$45</c:f>
            </c:strRef>
          </c:cat>
          <c:val>
            <c:numRef>
              <c:f>'Decrementos Múltiples'!$I$27:$I$45</c:f>
              <c:numCache/>
            </c:numRef>
          </c:val>
          <c:smooth val="0"/>
        </c:ser>
        <c:ser>
          <c:idx val="1"/>
          <c:order val="1"/>
          <c:tx>
            <c:v>nqx_i</c:v>
          </c:tx>
          <c:spPr>
            <a:ln cmpd="sng">
              <a:solidFill>
                <a:srgbClr val="F79646"/>
              </a:solidFill>
            </a:ln>
          </c:spPr>
          <c:marker>
            <c:symbol val="none"/>
          </c:marker>
          <c:cat>
            <c:strRef>
              <c:f>'Decrementos Múltiples'!$B$27:$B$45</c:f>
            </c:strRef>
          </c:cat>
          <c:val>
            <c:numRef>
              <c:f>'Decrementos Múltiples'!$M$27:$M$45</c:f>
              <c:numCache/>
            </c:numRef>
          </c:val>
          <c:smooth val="0"/>
        </c:ser>
        <c:axId val="749698483"/>
        <c:axId val="70936718"/>
      </c:lineChart>
      <c:catAx>
        <c:axId val="74969848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70936718"/>
      </c:catAx>
      <c:valAx>
        <c:axId val="70936718"/>
        <c:scaling>
          <c:orientation val="minMax"/>
          <c:max val="1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nqx</a:t>
                </a:r>
              </a:p>
            </c:rich>
          </c:tx>
          <c:overlay val="0"/>
        </c:title>
        <c:numFmt formatCode="0.00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749698483"/>
      </c:valAx>
    </c:plotArea>
    <c:legend>
      <c:legendPos val="b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Hombres</a:t>
            </a:r>
          </a:p>
        </c:rich>
      </c:tx>
      <c:overlay val="0"/>
    </c:title>
    <c:plotArea>
      <c:layout/>
      <c:lineChart>
        <c:ser>
          <c:idx val="0"/>
          <c:order val="0"/>
          <c:tx>
            <c:v>nqx</c:v>
          </c:tx>
          <c:spPr>
            <a:ln cmpd="sng">
              <a:solidFill>
                <a:srgbClr val="1CADE4"/>
              </a:solidFill>
            </a:ln>
          </c:spPr>
          <c:marker>
            <c:symbol val="none"/>
          </c:marker>
          <c:cat>
            <c:strRef>
              <c:f>'Decrementos Múltiples'!$B$4:$B$22</c:f>
            </c:strRef>
          </c:cat>
          <c:val>
            <c:numRef>
              <c:f>'Decrementos Múltiples'!$I$4:$I$22</c:f>
              <c:numCache/>
            </c:numRef>
          </c:val>
          <c:smooth val="0"/>
        </c:ser>
        <c:ser>
          <c:idx val="1"/>
          <c:order val="1"/>
          <c:tx>
            <c:v>nqx_i</c:v>
          </c:tx>
          <c:spPr>
            <a:ln cmpd="sng">
              <a:solidFill>
                <a:srgbClr val="2683C6"/>
              </a:solidFill>
            </a:ln>
          </c:spPr>
          <c:marker>
            <c:symbol val="none"/>
          </c:marker>
          <c:cat>
            <c:strRef>
              <c:f>'Decrementos Múltiples'!$B$4:$B$22</c:f>
            </c:strRef>
          </c:cat>
          <c:val>
            <c:numRef>
              <c:f>'Decrementos Múltiples'!$M$4:$M$22</c:f>
              <c:numCache/>
            </c:numRef>
          </c:val>
          <c:smooth val="0"/>
        </c:ser>
        <c:axId val="669107490"/>
        <c:axId val="1783060989"/>
      </c:lineChart>
      <c:catAx>
        <c:axId val="66910749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783060989"/>
      </c:catAx>
      <c:valAx>
        <c:axId val="1783060989"/>
        <c:scaling>
          <c:orientation val="minMax"/>
          <c:max val="1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nqx</a:t>
                </a:r>
              </a:p>
            </c:rich>
          </c:tx>
          <c:overlay val="0"/>
        </c:title>
        <c:numFmt formatCode="0.00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669107490"/>
      </c:valAx>
    </c:plotArea>
    <c:legend>
      <c:legendPos val="b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Esperanza de vida al nacer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Sin homicidios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'Decrementos Múltiples'!$AA$26:$AB$26</c:f>
            </c:strRef>
          </c:cat>
          <c:val>
            <c:numRef>
              <c:f>'Decrementos Múltiples'!$AA$27:$AB$27</c:f>
              <c:numCache/>
            </c:numRef>
          </c:val>
        </c:ser>
        <c:ser>
          <c:idx val="1"/>
          <c:order val="1"/>
          <c:tx>
            <c:v>Con homicidios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'Decrementos Múltiples'!$AA$26:$AB$26</c:f>
            </c:strRef>
          </c:cat>
          <c:val>
            <c:numRef>
              <c:f>'Decrementos Múltiples'!$AA$28:$AB$28</c:f>
              <c:numCache/>
            </c:numRef>
          </c:val>
        </c:ser>
        <c:axId val="2031811623"/>
        <c:axId val="1919408787"/>
      </c:barChart>
      <c:catAx>
        <c:axId val="203181162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919408787"/>
      </c:catAx>
      <c:valAx>
        <c:axId val="191940878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31811623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image" Target="../media/image2.png"/><Relationship Id="rId11" Type="http://schemas.openxmlformats.org/officeDocument/2006/relationships/image" Target="../media/image5.png"/><Relationship Id="rId10" Type="http://schemas.openxmlformats.org/officeDocument/2006/relationships/image" Target="../media/image8.png"/><Relationship Id="rId12" Type="http://schemas.openxmlformats.org/officeDocument/2006/relationships/image" Target="../media/image3.png"/><Relationship Id="rId9" Type="http://schemas.openxmlformats.org/officeDocument/2006/relationships/image" Target="../media/image4.png"/><Relationship Id="rId5" Type="http://schemas.openxmlformats.org/officeDocument/2006/relationships/image" Target="../media/image1.png"/><Relationship Id="rId6" Type="http://schemas.openxmlformats.org/officeDocument/2006/relationships/image" Target="../media/image7.png"/><Relationship Id="rId7" Type="http://schemas.openxmlformats.org/officeDocument/2006/relationships/image" Target="../media/image6.png"/><Relationship Id="rId8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29</xdr:col>
      <xdr:colOff>38100</xdr:colOff>
      <xdr:row>2</xdr:row>
      <xdr:rowOff>9525</xdr:rowOff>
    </xdr:from>
    <xdr:ext cx="5695950" cy="462915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23</xdr:col>
      <xdr:colOff>838200</xdr:colOff>
      <xdr:row>2</xdr:row>
      <xdr:rowOff>0</xdr:rowOff>
    </xdr:from>
    <xdr:ext cx="5695950" cy="462915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26</xdr:col>
      <xdr:colOff>504825</xdr:colOff>
      <xdr:row>29</xdr:row>
      <xdr:rowOff>38100</xdr:rowOff>
    </xdr:from>
    <xdr:ext cx="6000750" cy="3133725"/>
    <xdr:graphicFrame>
      <xdr:nvGraphicFramePr>
        <xdr:cNvPr id="3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5</xdr:col>
      <xdr:colOff>342900</xdr:colOff>
      <xdr:row>25</xdr:row>
      <xdr:rowOff>66675</xdr:rowOff>
    </xdr:from>
    <xdr:ext cx="323850" cy="266700"/>
    <xdr:pic>
      <xdr:nvPicPr>
        <xdr:cNvPr id="0" name="image2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419100</xdr:colOff>
      <xdr:row>25</xdr:row>
      <xdr:rowOff>66675</xdr:rowOff>
    </xdr:from>
    <xdr:ext cx="171450" cy="257175"/>
    <xdr:pic>
      <xdr:nvPicPr>
        <xdr:cNvPr id="0" name="image1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304800</xdr:colOff>
      <xdr:row>25</xdr:row>
      <xdr:rowOff>66675</xdr:rowOff>
    </xdr:from>
    <xdr:ext cx="381000" cy="257175"/>
    <xdr:pic>
      <xdr:nvPicPr>
        <xdr:cNvPr id="0" name="image7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323850</xdr:colOff>
      <xdr:row>25</xdr:row>
      <xdr:rowOff>66675</xdr:rowOff>
    </xdr:from>
    <xdr:ext cx="381000" cy="257175"/>
    <xdr:pic>
      <xdr:nvPicPr>
        <xdr:cNvPr id="0" name="image6.png" title="Image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323850</xdr:colOff>
      <xdr:row>25</xdr:row>
      <xdr:rowOff>66675</xdr:rowOff>
    </xdr:from>
    <xdr:ext cx="352425" cy="257175"/>
    <xdr:pic>
      <xdr:nvPicPr>
        <xdr:cNvPr id="0" name="image9.png" title="Image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285750</xdr:colOff>
      <xdr:row>25</xdr:row>
      <xdr:rowOff>66675</xdr:rowOff>
    </xdr:from>
    <xdr:ext cx="476250" cy="266700"/>
    <xdr:pic>
      <xdr:nvPicPr>
        <xdr:cNvPr id="0" name="image4.png" title="Image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285750</xdr:colOff>
      <xdr:row>25</xdr:row>
      <xdr:rowOff>66675</xdr:rowOff>
    </xdr:from>
    <xdr:ext cx="390525" cy="266700"/>
    <xdr:pic>
      <xdr:nvPicPr>
        <xdr:cNvPr id="0" name="image8.png" title="Image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285750</xdr:colOff>
      <xdr:row>25</xdr:row>
      <xdr:rowOff>66675</xdr:rowOff>
    </xdr:from>
    <xdr:ext cx="476250" cy="266700"/>
    <xdr:pic>
      <xdr:nvPicPr>
        <xdr:cNvPr id="0" name="image5.png" title="Image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247650</xdr:colOff>
      <xdr:row>25</xdr:row>
      <xdr:rowOff>66675</xdr:rowOff>
    </xdr:from>
    <xdr:ext cx="428625" cy="266700"/>
    <xdr:pic>
      <xdr:nvPicPr>
        <xdr:cNvPr id="0" name="image3.png" title="Image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342900</xdr:colOff>
      <xdr:row>2</xdr:row>
      <xdr:rowOff>66675</xdr:rowOff>
    </xdr:from>
    <xdr:ext cx="381000" cy="257175"/>
    <xdr:pic>
      <xdr:nvPicPr>
        <xdr:cNvPr id="0" name="image6.png" title="Image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304800</xdr:colOff>
      <xdr:row>2</xdr:row>
      <xdr:rowOff>66675</xdr:rowOff>
    </xdr:from>
    <xdr:ext cx="352425" cy="257175"/>
    <xdr:pic>
      <xdr:nvPicPr>
        <xdr:cNvPr id="0" name="image9.png" title="Image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381000</xdr:colOff>
      <xdr:row>2</xdr:row>
      <xdr:rowOff>66675</xdr:rowOff>
    </xdr:from>
    <xdr:ext cx="323850" cy="266700"/>
    <xdr:pic>
      <xdr:nvPicPr>
        <xdr:cNvPr id="0" name="image2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371475</xdr:colOff>
      <xdr:row>2</xdr:row>
      <xdr:rowOff>66675</xdr:rowOff>
    </xdr:from>
    <xdr:ext cx="171450" cy="257175"/>
    <xdr:pic>
      <xdr:nvPicPr>
        <xdr:cNvPr id="0" name="image1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342900</xdr:colOff>
      <xdr:row>2</xdr:row>
      <xdr:rowOff>66675</xdr:rowOff>
    </xdr:from>
    <xdr:ext cx="381000" cy="257175"/>
    <xdr:pic>
      <xdr:nvPicPr>
        <xdr:cNvPr id="0" name="image7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314325</xdr:colOff>
      <xdr:row>2</xdr:row>
      <xdr:rowOff>57150</xdr:rowOff>
    </xdr:from>
    <xdr:ext cx="476250" cy="266700"/>
    <xdr:pic>
      <xdr:nvPicPr>
        <xdr:cNvPr id="0" name="image4.png" title="Image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342900</xdr:colOff>
      <xdr:row>2</xdr:row>
      <xdr:rowOff>57150</xdr:rowOff>
    </xdr:from>
    <xdr:ext cx="390525" cy="266700"/>
    <xdr:pic>
      <xdr:nvPicPr>
        <xdr:cNvPr id="0" name="image8.png" title="Image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314325</xdr:colOff>
      <xdr:row>2</xdr:row>
      <xdr:rowOff>57150</xdr:rowOff>
    </xdr:from>
    <xdr:ext cx="476250" cy="266700"/>
    <xdr:pic>
      <xdr:nvPicPr>
        <xdr:cNvPr id="0" name="image5.png" title="Image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314325</xdr:colOff>
      <xdr:row>2</xdr:row>
      <xdr:rowOff>57150</xdr:rowOff>
    </xdr:from>
    <xdr:ext cx="428625" cy="266700"/>
    <xdr:pic>
      <xdr:nvPicPr>
        <xdr:cNvPr id="0" name="image3.png" title="Image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outlinePr summaryBelow="0" summaryRight="0"/>
    <pageSetUpPr/>
  </sheetPr>
  <sheetViews>
    <sheetView showGridLines="0" workbookViewId="0"/>
  </sheetViews>
  <sheetFormatPr customHeight="1" defaultColWidth="14.43" defaultRowHeight="15.0"/>
  <cols>
    <col customWidth="1" min="1" max="1" width="6.86"/>
    <col customWidth="1" min="2" max="6" width="14.43"/>
    <col customWidth="1" min="21" max="21" width="3.29"/>
    <col customWidth="1" hidden="1" min="22" max="23" width="16.43"/>
  </cols>
  <sheetData>
    <row r="2" ht="15.0" customHeight="1">
      <c r="B2" s="1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3"/>
    </row>
    <row r="3" ht="33.0" customHeight="1">
      <c r="B3" s="4" t="s">
        <v>1</v>
      </c>
      <c r="C3" s="5" t="s">
        <v>2</v>
      </c>
      <c r="D3" s="5" t="s">
        <v>3</v>
      </c>
      <c r="E3" s="5" t="s">
        <v>4</v>
      </c>
      <c r="F3" s="5"/>
      <c r="G3" s="6"/>
      <c r="H3" s="6"/>
      <c r="I3" s="6" t="s">
        <v>5</v>
      </c>
      <c r="J3" s="6"/>
      <c r="K3" s="7" t="s">
        <v>6</v>
      </c>
      <c r="L3" s="6"/>
      <c r="M3" s="6" t="s">
        <v>7</v>
      </c>
      <c r="N3" s="6"/>
      <c r="O3" s="6" t="s">
        <v>8</v>
      </c>
      <c r="P3" s="6"/>
      <c r="Q3" s="6" t="s">
        <v>9</v>
      </c>
      <c r="R3" s="6" t="s">
        <v>10</v>
      </c>
      <c r="S3" s="7" t="s">
        <v>11</v>
      </c>
      <c r="T3" s="8" t="s">
        <v>12</v>
      </c>
    </row>
    <row r="4" ht="15.0" customHeight="1">
      <c r="B4" s="9">
        <v>0.0</v>
      </c>
      <c r="C4" s="10">
        <v>1.0</v>
      </c>
      <c r="D4" s="11">
        <v>143.0</v>
      </c>
      <c r="E4" s="11">
        <v>1.0</v>
      </c>
      <c r="F4" s="12">
        <f t="shared" ref="F4:F22" si="1">(D4-E4)/D4</f>
        <v>0.993006993</v>
      </c>
      <c r="G4" s="13">
        <f>LT!H21</f>
        <v>100000</v>
      </c>
      <c r="H4" s="14">
        <f>1-LT!F21</f>
        <v>0.9881974104</v>
      </c>
      <c r="I4" s="15">
        <f t="shared" ref="I4:I22" si="2">1-H4</f>
        <v>0.01180258959</v>
      </c>
      <c r="J4" s="16" t="str">
        <f>LT!G2</f>
        <v/>
      </c>
      <c r="K4" s="17">
        <f>LT!L21</f>
        <v>66.51570216</v>
      </c>
      <c r="L4" s="15">
        <f t="shared" ref="L4:L22" si="3">H4^F4</f>
        <v>0.9882794604</v>
      </c>
      <c r="M4" s="18">
        <f t="shared" ref="M4:M22" si="4">1-L4</f>
        <v>0.01172053959</v>
      </c>
      <c r="N4" s="19">
        <v>100000.0</v>
      </c>
      <c r="O4" s="20">
        <f t="shared" ref="O4:O22" si="5">N4*M4</f>
        <v>1172.053959</v>
      </c>
      <c r="P4" s="20">
        <f t="shared" ref="P4:P6" si="6">C4+(F4*(I4/M4)*(J4-C4))</f>
        <v>0.00004143054528</v>
      </c>
      <c r="Q4" s="19">
        <f t="shared" ref="Q4:Q21" si="7">(C4*N5)+(P4*O4)</f>
        <v>98827.9946</v>
      </c>
      <c r="R4" s="19">
        <f t="shared" ref="R4:R21" si="8">R5+Q4</f>
        <v>6685828.404</v>
      </c>
      <c r="S4" s="17">
        <f t="shared" ref="S4:S22" si="9">R4/N4</f>
        <v>66.85828404</v>
      </c>
      <c r="T4" s="21">
        <f t="shared" ref="T4:T22" si="10">S4-K4</f>
        <v>0.34258188</v>
      </c>
    </row>
    <row r="5" ht="15.0" customHeight="1">
      <c r="B5" s="9">
        <v>1.0</v>
      </c>
      <c r="C5" s="10">
        <v>4.0</v>
      </c>
      <c r="D5" s="11">
        <v>23.0</v>
      </c>
      <c r="E5" s="11">
        <v>0.0</v>
      </c>
      <c r="F5" s="12">
        <f t="shared" si="1"/>
        <v>1</v>
      </c>
      <c r="G5" s="13">
        <f>LT!H22</f>
        <v>98819.74104</v>
      </c>
      <c r="H5" s="14">
        <f>1-LT!F22</f>
        <v>0.9979048174</v>
      </c>
      <c r="I5" s="15">
        <f t="shared" si="2"/>
        <v>0.00209518259</v>
      </c>
      <c r="J5" s="16" t="str">
        <f>LT!G3</f>
        <v/>
      </c>
      <c r="K5" s="22">
        <f>LT!L22</f>
        <v>66.3092161</v>
      </c>
      <c r="L5" s="15">
        <f t="shared" si="3"/>
        <v>0.9979048174</v>
      </c>
      <c r="M5" s="18">
        <f t="shared" si="4"/>
        <v>0.00209518259</v>
      </c>
      <c r="N5" s="19">
        <f t="shared" ref="N5:N22" si="11">N4*L4</f>
        <v>98827.94604</v>
      </c>
      <c r="O5" s="20">
        <f t="shared" si="5"/>
        <v>207.0625919</v>
      </c>
      <c r="P5" s="20">
        <f t="shared" si="6"/>
        <v>0</v>
      </c>
      <c r="Q5" s="19">
        <f t="shared" si="7"/>
        <v>394483.5338</v>
      </c>
      <c r="R5" s="19">
        <f t="shared" si="8"/>
        <v>6587000.41</v>
      </c>
      <c r="S5" s="12">
        <f t="shared" si="9"/>
        <v>66.65119203</v>
      </c>
      <c r="T5" s="21">
        <f t="shared" si="10"/>
        <v>0.3419759339</v>
      </c>
      <c r="V5" s="23" t="s">
        <v>13</v>
      </c>
      <c r="W5" s="24"/>
    </row>
    <row r="6" ht="15.0" customHeight="1">
      <c r="B6" s="9">
        <v>5.0</v>
      </c>
      <c r="C6" s="10">
        <v>5.0</v>
      </c>
      <c r="D6" s="11">
        <v>14.0</v>
      </c>
      <c r="E6" s="11">
        <v>3.0</v>
      </c>
      <c r="F6" s="12">
        <f t="shared" si="1"/>
        <v>0.7857142857</v>
      </c>
      <c r="G6" s="13">
        <f>LT!H23</f>
        <v>98612.69564</v>
      </c>
      <c r="H6" s="14">
        <f>1-LT!F23</f>
        <v>0.9988307219</v>
      </c>
      <c r="I6" s="15">
        <f t="shared" si="2"/>
        <v>0.001169278054</v>
      </c>
      <c r="J6" s="16" t="str">
        <f>LT!G4</f>
        <v/>
      </c>
      <c r="K6" s="22">
        <f>LT!L23</f>
        <v>62.44490075</v>
      </c>
      <c r="L6" s="15">
        <f t="shared" si="3"/>
        <v>0.9990811664</v>
      </c>
      <c r="M6" s="18">
        <f t="shared" si="4"/>
        <v>0.0009188336226</v>
      </c>
      <c r="N6" s="19">
        <f t="shared" si="11"/>
        <v>98620.88345</v>
      </c>
      <c r="O6" s="20">
        <f t="shared" si="5"/>
        <v>90.61618361</v>
      </c>
      <c r="P6" s="20">
        <f t="shared" si="6"/>
        <v>0.0006266170716</v>
      </c>
      <c r="Q6" s="19">
        <f t="shared" si="7"/>
        <v>492651.3931</v>
      </c>
      <c r="R6" s="19">
        <f t="shared" si="8"/>
        <v>6192516.876</v>
      </c>
      <c r="S6" s="12">
        <f t="shared" si="9"/>
        <v>62.79113165</v>
      </c>
      <c r="T6" s="21">
        <f t="shared" si="10"/>
        <v>0.3462309</v>
      </c>
      <c r="V6" s="25"/>
      <c r="W6" s="26"/>
    </row>
    <row r="7" ht="15.0" customHeight="1">
      <c r="B7" s="9">
        <v>10.0</v>
      </c>
      <c r="C7" s="10">
        <v>5.0</v>
      </c>
      <c r="D7" s="11">
        <v>10.0</v>
      </c>
      <c r="E7" s="11">
        <v>0.0</v>
      </c>
      <c r="F7" s="12">
        <f t="shared" si="1"/>
        <v>1</v>
      </c>
      <c r="G7" s="13">
        <f>LT!H24</f>
        <v>98497.38998</v>
      </c>
      <c r="H7" s="14">
        <f>1-LT!F24</f>
        <v>0.9991767244</v>
      </c>
      <c r="I7" s="15">
        <f t="shared" si="2"/>
        <v>0.0008232756492</v>
      </c>
      <c r="J7" s="16" t="str">
        <f>LT!G5</f>
        <v/>
      </c>
      <c r="K7" s="22">
        <f>LT!L24</f>
        <v>57.51507506</v>
      </c>
      <c r="L7" s="15">
        <f t="shared" si="3"/>
        <v>0.9991767244</v>
      </c>
      <c r="M7" s="18">
        <f t="shared" si="4"/>
        <v>0.0008232756492</v>
      </c>
      <c r="N7" s="19">
        <f t="shared" si="11"/>
        <v>98530.26727</v>
      </c>
      <c r="O7" s="20">
        <f t="shared" si="5"/>
        <v>81.11756974</v>
      </c>
      <c r="P7" s="15">
        <f t="shared" ref="P7:P20" si="12">(((-5/24)*O6)+((2.5)*O7)+((5/24)*O8))/O7</f>
        <v>3.232434303</v>
      </c>
      <c r="Q7" s="19">
        <f t="shared" si="7"/>
        <v>492507.9557</v>
      </c>
      <c r="R7" s="19">
        <f t="shared" si="8"/>
        <v>5699865.483</v>
      </c>
      <c r="S7" s="12">
        <f t="shared" si="9"/>
        <v>57.84887873</v>
      </c>
      <c r="T7" s="21">
        <f t="shared" si="10"/>
        <v>0.3338036769</v>
      </c>
      <c r="V7" s="27"/>
      <c r="W7" s="28"/>
    </row>
    <row r="8" ht="15.0" customHeight="1">
      <c r="B8" s="9">
        <v>15.0</v>
      </c>
      <c r="C8" s="10">
        <v>5.0</v>
      </c>
      <c r="D8" s="11">
        <v>56.0</v>
      </c>
      <c r="E8" s="11">
        <v>9.0</v>
      </c>
      <c r="F8" s="12">
        <f t="shared" si="1"/>
        <v>0.8392857143</v>
      </c>
      <c r="G8" s="13">
        <f>LT!H25</f>
        <v>98416.29948</v>
      </c>
      <c r="H8" s="14">
        <f>1-LT!F25</f>
        <v>0.9954535122</v>
      </c>
      <c r="I8" s="15">
        <f t="shared" si="2"/>
        <v>0.004546487838</v>
      </c>
      <c r="J8" s="16" t="str">
        <f>LT!G6</f>
        <v/>
      </c>
      <c r="K8" s="22">
        <f>LT!L25</f>
        <v>52.56040495</v>
      </c>
      <c r="L8" s="15">
        <f t="shared" si="3"/>
        <v>0.9961828012</v>
      </c>
      <c r="M8" s="18">
        <f t="shared" si="4"/>
        <v>0.003817198827</v>
      </c>
      <c r="N8" s="19">
        <f t="shared" si="11"/>
        <v>98449.1497</v>
      </c>
      <c r="O8" s="20">
        <f t="shared" si="5"/>
        <v>375.7999787</v>
      </c>
      <c r="P8" s="15">
        <f t="shared" si="12"/>
        <v>2.791367613</v>
      </c>
      <c r="Q8" s="19">
        <f t="shared" si="7"/>
        <v>491415.7445</v>
      </c>
      <c r="R8" s="19">
        <f t="shared" si="8"/>
        <v>5207357.527</v>
      </c>
      <c r="S8" s="12">
        <f t="shared" si="9"/>
        <v>52.89388017</v>
      </c>
      <c r="T8" s="21">
        <f t="shared" si="10"/>
        <v>0.3334752236</v>
      </c>
      <c r="V8" s="29" t="s">
        <v>14</v>
      </c>
      <c r="W8" s="29" t="s">
        <v>15</v>
      </c>
    </row>
    <row r="9" ht="15.0" customHeight="1">
      <c r="B9" s="9">
        <v>20.0</v>
      </c>
      <c r="C9" s="10">
        <v>5.0</v>
      </c>
      <c r="D9" s="11">
        <v>95.0</v>
      </c>
      <c r="E9" s="11">
        <v>25.0</v>
      </c>
      <c r="F9" s="12">
        <f t="shared" si="1"/>
        <v>0.7368421053</v>
      </c>
      <c r="G9" s="13">
        <f>LT!H26</f>
        <v>97968.85097</v>
      </c>
      <c r="H9" s="14">
        <f>1-LT!F26</f>
        <v>0.9916137746</v>
      </c>
      <c r="I9" s="15">
        <f t="shared" si="2"/>
        <v>0.008386225404</v>
      </c>
      <c r="J9" s="16" t="str">
        <f>LT!G7</f>
        <v/>
      </c>
      <c r="K9" s="22">
        <f>LT!L26</f>
        <v>47.78904347</v>
      </c>
      <c r="L9" s="15">
        <f t="shared" si="3"/>
        <v>0.9938138332</v>
      </c>
      <c r="M9" s="18">
        <f t="shared" si="4"/>
        <v>0.006186166753</v>
      </c>
      <c r="N9" s="19">
        <f t="shared" si="11"/>
        <v>98073.34972</v>
      </c>
      <c r="O9" s="20">
        <f t="shared" si="5"/>
        <v>606.6980954</v>
      </c>
      <c r="P9" s="15">
        <f t="shared" si="12"/>
        <v>2.746775493</v>
      </c>
      <c r="Q9" s="19">
        <f t="shared" si="7"/>
        <v>488999.7216</v>
      </c>
      <c r="R9" s="19">
        <f t="shared" si="8"/>
        <v>4715941.782</v>
      </c>
      <c r="S9" s="12">
        <f t="shared" si="9"/>
        <v>48.08586426</v>
      </c>
      <c r="T9" s="21">
        <f t="shared" si="10"/>
        <v>0.2968207927</v>
      </c>
      <c r="V9" s="30" t="str">
        <f>([1]TV!M53-[1]TV!M71)/[1]TV!J53</f>
        <v>#ERROR!</v>
      </c>
      <c r="W9" s="30">
        <f>(R4-R22)/N4</f>
        <v>66.08383651</v>
      </c>
    </row>
    <row r="10" ht="15.0" customHeight="1">
      <c r="B10" s="9">
        <v>25.0</v>
      </c>
      <c r="C10" s="10">
        <v>5.0</v>
      </c>
      <c r="D10" s="11">
        <v>144.0</v>
      </c>
      <c r="E10" s="11">
        <v>30.0</v>
      </c>
      <c r="F10" s="12">
        <f t="shared" si="1"/>
        <v>0.7916666667</v>
      </c>
      <c r="G10" s="13">
        <f>LT!H27</f>
        <v>97147.2621</v>
      </c>
      <c r="H10" s="14">
        <f>1-LT!F27</f>
        <v>0.9858370872</v>
      </c>
      <c r="I10" s="15">
        <f t="shared" si="2"/>
        <v>0.01416291284</v>
      </c>
      <c r="J10" s="16" t="str">
        <f>LT!G8</f>
        <v/>
      </c>
      <c r="K10" s="22">
        <f>LT!L27</f>
        <v>43.17205966</v>
      </c>
      <c r="L10" s="15">
        <f t="shared" si="3"/>
        <v>0.9887710573</v>
      </c>
      <c r="M10" s="18">
        <f t="shared" si="4"/>
        <v>0.01122894266</v>
      </c>
      <c r="N10" s="19">
        <f t="shared" si="11"/>
        <v>97466.65162</v>
      </c>
      <c r="O10" s="20">
        <f t="shared" si="5"/>
        <v>1094.447442</v>
      </c>
      <c r="P10" s="15">
        <f t="shared" si="12"/>
        <v>2.6604922</v>
      </c>
      <c r="Q10" s="19">
        <f t="shared" si="7"/>
        <v>484772.7898</v>
      </c>
      <c r="R10" s="19">
        <f t="shared" si="8"/>
        <v>4226942.061</v>
      </c>
      <c r="S10" s="12">
        <f t="shared" si="9"/>
        <v>43.36808529</v>
      </c>
      <c r="T10" s="21">
        <f t="shared" si="10"/>
        <v>0.1960256357</v>
      </c>
      <c r="V10" s="31" t="s">
        <v>16</v>
      </c>
      <c r="W10" s="30" t="str">
        <f>W9-V9</f>
        <v>#ERROR!</v>
      </c>
    </row>
    <row r="11" ht="15.0" customHeight="1">
      <c r="B11" s="9">
        <v>30.0</v>
      </c>
      <c r="C11" s="10">
        <v>5.0</v>
      </c>
      <c r="D11" s="11">
        <v>157.0</v>
      </c>
      <c r="E11" s="11">
        <v>20.0</v>
      </c>
      <c r="F11" s="12">
        <f t="shared" si="1"/>
        <v>0.872611465</v>
      </c>
      <c r="G11" s="13">
        <f>LT!H28</f>
        <v>95771.3739</v>
      </c>
      <c r="H11" s="14">
        <f>1-LT!F28</f>
        <v>0.9827788564</v>
      </c>
      <c r="I11" s="15">
        <f t="shared" si="2"/>
        <v>0.01722114362</v>
      </c>
      <c r="J11" s="16" t="str">
        <f>LT!G9</f>
        <v/>
      </c>
      <c r="K11" s="22">
        <f>LT!L28</f>
        <v>38.75637003</v>
      </c>
      <c r="L11" s="15">
        <f t="shared" si="3"/>
        <v>0.9849560416</v>
      </c>
      <c r="M11" s="18">
        <f t="shared" si="4"/>
        <v>0.01504395836</v>
      </c>
      <c r="N11" s="19">
        <f t="shared" si="11"/>
        <v>96372.20418</v>
      </c>
      <c r="O11" s="20">
        <f t="shared" si="5"/>
        <v>1449.819427</v>
      </c>
      <c r="P11" s="15">
        <f t="shared" si="12"/>
        <v>2.609064675</v>
      </c>
      <c r="Q11" s="19">
        <f t="shared" si="7"/>
        <v>478394.5964</v>
      </c>
      <c r="R11" s="19">
        <f t="shared" si="8"/>
        <v>3742169.271</v>
      </c>
      <c r="S11" s="12">
        <f t="shared" si="9"/>
        <v>38.8303796</v>
      </c>
      <c r="T11" s="21">
        <f t="shared" si="10"/>
        <v>0.07400956767</v>
      </c>
    </row>
    <row r="12" ht="15.0" customHeight="1">
      <c r="B12" s="9">
        <v>35.0</v>
      </c>
      <c r="C12" s="10">
        <v>5.0</v>
      </c>
      <c r="D12" s="11">
        <v>197.0</v>
      </c>
      <c r="E12" s="11">
        <v>26.0</v>
      </c>
      <c r="F12" s="12">
        <f t="shared" si="1"/>
        <v>0.8680203046</v>
      </c>
      <c r="G12" s="13">
        <f>LT!H29</f>
        <v>94122.08131</v>
      </c>
      <c r="H12" s="14">
        <f>1-LT!F29</f>
        <v>0.9775388509</v>
      </c>
      <c r="I12" s="15">
        <f t="shared" si="2"/>
        <v>0.02246114905</v>
      </c>
      <c r="J12" s="16" t="str">
        <f>LT!G10</f>
        <v/>
      </c>
      <c r="K12" s="22">
        <f>LT!L29</f>
        <v>34.39168707</v>
      </c>
      <c r="L12" s="15">
        <f t="shared" si="3"/>
        <v>0.9804741205</v>
      </c>
      <c r="M12" s="18">
        <f t="shared" si="4"/>
        <v>0.01952587954</v>
      </c>
      <c r="N12" s="19">
        <f t="shared" si="11"/>
        <v>94922.38475</v>
      </c>
      <c r="O12" s="20">
        <f t="shared" si="5"/>
        <v>1853.443051</v>
      </c>
      <c r="P12" s="15">
        <f t="shared" si="12"/>
        <v>2.682633874</v>
      </c>
      <c r="Q12" s="19">
        <f t="shared" si="7"/>
        <v>470316.8176</v>
      </c>
      <c r="R12" s="19">
        <f t="shared" si="8"/>
        <v>3263774.675</v>
      </c>
      <c r="S12" s="12">
        <f t="shared" si="9"/>
        <v>34.38361439</v>
      </c>
      <c r="T12" s="21">
        <f t="shared" si="10"/>
        <v>-0.008072678905</v>
      </c>
    </row>
    <row r="13" ht="15.0" customHeight="1">
      <c r="B13" s="9">
        <v>40.0</v>
      </c>
      <c r="C13" s="10">
        <v>5.0</v>
      </c>
      <c r="D13" s="11">
        <v>290.0</v>
      </c>
      <c r="E13" s="11">
        <v>14.0</v>
      </c>
      <c r="F13" s="12">
        <f t="shared" si="1"/>
        <v>0.9517241379</v>
      </c>
      <c r="G13" s="13">
        <f>LT!H30</f>
        <v>92007.99121</v>
      </c>
      <c r="H13" s="14">
        <f>1-LT!F30</f>
        <v>0.9653176426</v>
      </c>
      <c r="I13" s="15">
        <f t="shared" si="2"/>
        <v>0.03468235744</v>
      </c>
      <c r="J13" s="16" t="str">
        <f>LT!G11</f>
        <v/>
      </c>
      <c r="K13" s="22">
        <f>LT!L30</f>
        <v>30.12447016</v>
      </c>
      <c r="L13" s="15">
        <f t="shared" si="3"/>
        <v>0.9669639893</v>
      </c>
      <c r="M13" s="18">
        <f t="shared" si="4"/>
        <v>0.03303601072</v>
      </c>
      <c r="N13" s="19">
        <f t="shared" si="11"/>
        <v>93068.9417</v>
      </c>
      <c r="O13" s="20">
        <f t="shared" si="5"/>
        <v>3074.626555</v>
      </c>
      <c r="P13" s="15">
        <f t="shared" si="12"/>
        <v>2.687503846</v>
      </c>
      <c r="Q13" s="19">
        <f t="shared" si="7"/>
        <v>458234.6464</v>
      </c>
      <c r="R13" s="19">
        <f t="shared" si="8"/>
        <v>2793457.857</v>
      </c>
      <c r="S13" s="12">
        <f t="shared" si="9"/>
        <v>30.01493093</v>
      </c>
      <c r="T13" s="21">
        <f t="shared" si="10"/>
        <v>-0.1095392282</v>
      </c>
    </row>
    <row r="14" ht="15.0" customHeight="1">
      <c r="B14" s="9">
        <v>45.0</v>
      </c>
      <c r="C14" s="10">
        <v>5.0</v>
      </c>
      <c r="D14" s="11">
        <v>398.0</v>
      </c>
      <c r="E14" s="11">
        <v>11.0</v>
      </c>
      <c r="F14" s="12">
        <f t="shared" si="1"/>
        <v>0.972361809</v>
      </c>
      <c r="G14" s="13">
        <f>LT!H31</f>
        <v>88816.93717</v>
      </c>
      <c r="H14" s="14">
        <f>1-LT!F31</f>
        <v>0.9472358478</v>
      </c>
      <c r="I14" s="15">
        <f t="shared" si="2"/>
        <v>0.05276415219</v>
      </c>
      <c r="J14" s="16" t="str">
        <f>LT!G12</f>
        <v/>
      </c>
      <c r="K14" s="22">
        <f>LT!L31</f>
        <v>26.11697429</v>
      </c>
      <c r="L14" s="15">
        <f t="shared" si="3"/>
        <v>0.9486560489</v>
      </c>
      <c r="M14" s="18">
        <f t="shared" si="4"/>
        <v>0.05134395112</v>
      </c>
      <c r="N14" s="19">
        <f t="shared" si="11"/>
        <v>89994.31515</v>
      </c>
      <c r="O14" s="20">
        <f t="shared" si="5"/>
        <v>4620.663718</v>
      </c>
      <c r="P14" s="15">
        <f t="shared" si="12"/>
        <v>2.648130331</v>
      </c>
      <c r="Q14" s="19">
        <f t="shared" si="7"/>
        <v>439104.3769</v>
      </c>
      <c r="R14" s="19">
        <f t="shared" si="8"/>
        <v>2335223.211</v>
      </c>
      <c r="S14" s="12">
        <f t="shared" si="9"/>
        <v>25.9485636</v>
      </c>
      <c r="T14" s="21">
        <f t="shared" si="10"/>
        <v>-0.1684106865</v>
      </c>
    </row>
    <row r="15" ht="15.0" customHeight="1">
      <c r="B15" s="9">
        <v>50.0</v>
      </c>
      <c r="C15" s="10">
        <v>5.0</v>
      </c>
      <c r="D15" s="11">
        <v>502.0</v>
      </c>
      <c r="E15" s="11">
        <v>7.0</v>
      </c>
      <c r="F15" s="12">
        <f t="shared" si="1"/>
        <v>0.9860557769</v>
      </c>
      <c r="G15" s="13">
        <f>LT!H32</f>
        <v>84130.58678</v>
      </c>
      <c r="H15" s="14">
        <f>1-LT!F32</f>
        <v>0.9244908396</v>
      </c>
      <c r="I15" s="15">
        <f t="shared" si="2"/>
        <v>0.07550916037</v>
      </c>
      <c r="J15" s="16" t="str">
        <f>LT!G13</f>
        <v/>
      </c>
      <c r="K15" s="22">
        <f>LT!L32</f>
        <v>22.43251744</v>
      </c>
      <c r="L15" s="15">
        <f t="shared" si="3"/>
        <v>0.9255035179</v>
      </c>
      <c r="M15" s="18">
        <f t="shared" si="4"/>
        <v>0.07449648212</v>
      </c>
      <c r="N15" s="19">
        <f t="shared" si="11"/>
        <v>85373.65143</v>
      </c>
      <c r="O15" s="20">
        <f t="shared" si="5"/>
        <v>6360.036697</v>
      </c>
      <c r="P15" s="15">
        <f t="shared" si="12"/>
        <v>2.613007855</v>
      </c>
      <c r="Q15" s="19">
        <f t="shared" si="7"/>
        <v>411686.8995</v>
      </c>
      <c r="R15" s="19">
        <f t="shared" si="8"/>
        <v>1896118.834</v>
      </c>
      <c r="S15" s="12">
        <f t="shared" si="9"/>
        <v>22.20964902</v>
      </c>
      <c r="T15" s="21">
        <f t="shared" si="10"/>
        <v>-0.2228684161</v>
      </c>
    </row>
    <row r="16" ht="15.0" customHeight="1">
      <c r="B16" s="9">
        <v>55.0</v>
      </c>
      <c r="C16" s="10">
        <v>5.0</v>
      </c>
      <c r="D16" s="11">
        <v>560.0</v>
      </c>
      <c r="E16" s="11">
        <v>8.0</v>
      </c>
      <c r="F16" s="12">
        <f t="shared" si="1"/>
        <v>0.9857142857</v>
      </c>
      <c r="G16" s="13">
        <f>LT!H33</f>
        <v>77777.95681</v>
      </c>
      <c r="H16" s="14">
        <f>1-LT!F33</f>
        <v>0.8964573626</v>
      </c>
      <c r="I16" s="15">
        <f t="shared" si="2"/>
        <v>0.1035426374</v>
      </c>
      <c r="J16" s="16" t="str">
        <f>LT!G14</f>
        <v/>
      </c>
      <c r="K16" s="22">
        <f>LT!L33</f>
        <v>19.06053536</v>
      </c>
      <c r="L16" s="15">
        <f t="shared" si="3"/>
        <v>0.8978582685</v>
      </c>
      <c r="M16" s="18">
        <f t="shared" si="4"/>
        <v>0.1021417315</v>
      </c>
      <c r="N16" s="19">
        <f t="shared" si="11"/>
        <v>79013.61473</v>
      </c>
      <c r="O16" s="20">
        <f t="shared" si="5"/>
        <v>8070.587424</v>
      </c>
      <c r="P16" s="15">
        <f t="shared" si="12"/>
        <v>2.629627054</v>
      </c>
      <c r="Q16" s="19">
        <f t="shared" si="7"/>
        <v>375937.7716</v>
      </c>
      <c r="R16" s="19">
        <f t="shared" si="8"/>
        <v>1484431.934</v>
      </c>
      <c r="S16" s="12">
        <f t="shared" si="9"/>
        <v>18.78703992</v>
      </c>
      <c r="T16" s="21">
        <f t="shared" si="10"/>
        <v>-0.273495437</v>
      </c>
    </row>
    <row r="17" ht="15.0" customHeight="1">
      <c r="B17" s="9">
        <v>60.0</v>
      </c>
      <c r="C17" s="10">
        <v>5.0</v>
      </c>
      <c r="D17" s="11">
        <v>740.0</v>
      </c>
      <c r="E17" s="11">
        <v>1.0</v>
      </c>
      <c r="F17" s="12">
        <f t="shared" si="1"/>
        <v>0.9986486486</v>
      </c>
      <c r="G17" s="13">
        <f>LT!H34</f>
        <v>69724.62204</v>
      </c>
      <c r="H17" s="14">
        <f>1-LT!F34</f>
        <v>0.8393678909</v>
      </c>
      <c r="I17" s="15">
        <f t="shared" si="2"/>
        <v>0.1606321091</v>
      </c>
      <c r="J17" s="16" t="str">
        <f>LT!G15</f>
        <v/>
      </c>
      <c r="K17" s="22">
        <f>LT!L34</f>
        <v>15.97331067</v>
      </c>
      <c r="L17" s="15">
        <f t="shared" si="3"/>
        <v>0.839566534</v>
      </c>
      <c r="M17" s="18">
        <f t="shared" si="4"/>
        <v>0.160433466</v>
      </c>
      <c r="N17" s="19">
        <f t="shared" si="11"/>
        <v>70943.02731</v>
      </c>
      <c r="O17" s="20">
        <f t="shared" si="5"/>
        <v>11381.63576</v>
      </c>
      <c r="P17" s="15">
        <f t="shared" si="12"/>
        <v>2.555061497</v>
      </c>
      <c r="Q17" s="19">
        <f t="shared" si="7"/>
        <v>326887.7371</v>
      </c>
      <c r="R17" s="19">
        <f t="shared" si="8"/>
        <v>1108494.163</v>
      </c>
      <c r="S17" s="12">
        <f t="shared" si="9"/>
        <v>15.62513195</v>
      </c>
      <c r="T17" s="21">
        <f t="shared" si="10"/>
        <v>-0.3481787142</v>
      </c>
    </row>
    <row r="18" ht="15.0" customHeight="1">
      <c r="B18" s="9">
        <v>65.0</v>
      </c>
      <c r="C18" s="10">
        <v>5.0</v>
      </c>
      <c r="D18" s="11">
        <v>642.0</v>
      </c>
      <c r="E18" s="11">
        <v>3.0</v>
      </c>
      <c r="F18" s="12">
        <f t="shared" si="1"/>
        <v>0.9953271028</v>
      </c>
      <c r="G18" s="13">
        <f>LT!H35</f>
        <v>58524.60895</v>
      </c>
      <c r="H18" s="14">
        <f>1-LT!F35</f>
        <v>0.8132091941</v>
      </c>
      <c r="I18" s="15">
        <f t="shared" si="2"/>
        <v>0.1867908059</v>
      </c>
      <c r="J18" s="16" t="str">
        <f>LT!G16</f>
        <v/>
      </c>
      <c r="K18" s="22">
        <f>LT!L35</f>
        <v>13.55173466</v>
      </c>
      <c r="L18" s="15">
        <f t="shared" si="3"/>
        <v>0.8139952968</v>
      </c>
      <c r="M18" s="18">
        <f t="shared" si="4"/>
        <v>0.1860047032</v>
      </c>
      <c r="N18" s="19">
        <f t="shared" si="11"/>
        <v>59561.39155</v>
      </c>
      <c r="O18" s="20">
        <f t="shared" si="5"/>
        <v>11078.69896</v>
      </c>
      <c r="P18" s="15">
        <f t="shared" si="12"/>
        <v>2.51335568</v>
      </c>
      <c r="Q18" s="19">
        <f t="shared" si="7"/>
        <v>270258.1739</v>
      </c>
      <c r="R18" s="19">
        <f t="shared" si="8"/>
        <v>781606.4256</v>
      </c>
      <c r="S18" s="12">
        <f t="shared" si="9"/>
        <v>13.12270256</v>
      </c>
      <c r="T18" s="21">
        <f t="shared" si="10"/>
        <v>-0.4290320931</v>
      </c>
    </row>
    <row r="19" ht="15.0" customHeight="1">
      <c r="B19" s="9">
        <v>70.0</v>
      </c>
      <c r="C19" s="10">
        <v>5.0</v>
      </c>
      <c r="D19" s="11">
        <v>636.0</v>
      </c>
      <c r="E19" s="11">
        <v>1.0</v>
      </c>
      <c r="F19" s="12">
        <f t="shared" si="1"/>
        <v>0.998427673</v>
      </c>
      <c r="G19" s="13">
        <f>LT!H36</f>
        <v>47592.75007</v>
      </c>
      <c r="H19" s="14">
        <f>1-LT!F36</f>
        <v>0.7502552423</v>
      </c>
      <c r="I19" s="15">
        <f t="shared" si="2"/>
        <v>0.2497447577</v>
      </c>
      <c r="J19" s="16" t="str">
        <f>LT!G17</f>
        <v/>
      </c>
      <c r="K19" s="22">
        <f>LT!L36</f>
        <v>11.09027264</v>
      </c>
      <c r="L19" s="15">
        <f t="shared" si="3"/>
        <v>0.7505942807</v>
      </c>
      <c r="M19" s="18">
        <f t="shared" si="4"/>
        <v>0.2494057193</v>
      </c>
      <c r="N19" s="19">
        <f t="shared" si="11"/>
        <v>48482.6926</v>
      </c>
      <c r="O19" s="20">
        <f t="shared" si="5"/>
        <v>12091.86082</v>
      </c>
      <c r="P19" s="15">
        <f t="shared" si="12"/>
        <v>2.514231043</v>
      </c>
      <c r="Q19" s="19">
        <f t="shared" si="7"/>
        <v>212355.8907</v>
      </c>
      <c r="R19" s="19">
        <f t="shared" si="8"/>
        <v>511348.2517</v>
      </c>
      <c r="S19" s="12">
        <f t="shared" si="9"/>
        <v>10.54702667</v>
      </c>
      <c r="T19" s="21">
        <f t="shared" si="10"/>
        <v>-0.5432459685</v>
      </c>
    </row>
    <row r="20" ht="15.0" customHeight="1">
      <c r="B20" s="9">
        <v>75.0</v>
      </c>
      <c r="C20" s="10">
        <v>5.0</v>
      </c>
      <c r="D20" s="11">
        <v>635.0</v>
      </c>
      <c r="E20" s="11">
        <v>0.0</v>
      </c>
      <c r="F20" s="12">
        <f t="shared" si="1"/>
        <v>1</v>
      </c>
      <c r="G20" s="13">
        <f>LT!H37</f>
        <v>35706.71024</v>
      </c>
      <c r="H20" s="14">
        <f>1-LT!F37</f>
        <v>0.6728659008</v>
      </c>
      <c r="I20" s="15">
        <f t="shared" si="2"/>
        <v>0.3271340992</v>
      </c>
      <c r="J20" s="16" t="str">
        <f>LT!G18</f>
        <v/>
      </c>
      <c r="K20" s="22">
        <f>LT!L37</f>
        <v>8.949800217</v>
      </c>
      <c r="L20" s="15">
        <f t="shared" si="3"/>
        <v>0.6728659008</v>
      </c>
      <c r="M20" s="18">
        <f t="shared" si="4"/>
        <v>0.3271340992</v>
      </c>
      <c r="N20" s="19">
        <f t="shared" si="11"/>
        <v>36390.83177</v>
      </c>
      <c r="O20" s="20">
        <f t="shared" si="5"/>
        <v>11904.68197</v>
      </c>
      <c r="P20" s="15">
        <f t="shared" si="12"/>
        <v>2.473033231</v>
      </c>
      <c r="Q20" s="19">
        <f t="shared" si="7"/>
        <v>151871.4231</v>
      </c>
      <c r="R20" s="19">
        <f t="shared" si="8"/>
        <v>298992.361</v>
      </c>
      <c r="S20" s="12">
        <f t="shared" si="9"/>
        <v>8.216145288</v>
      </c>
      <c r="T20" s="21">
        <f t="shared" si="10"/>
        <v>-0.7336549291</v>
      </c>
    </row>
    <row r="21" ht="15.0" customHeight="1">
      <c r="B21" s="9">
        <v>80.0</v>
      </c>
      <c r="C21" s="10">
        <v>5.0</v>
      </c>
      <c r="D21" s="11">
        <v>578.0</v>
      </c>
      <c r="E21" s="11">
        <v>0.0</v>
      </c>
      <c r="F21" s="12">
        <f t="shared" si="1"/>
        <v>1</v>
      </c>
      <c r="G21" s="13">
        <f>LT!H38</f>
        <v>24025.82775</v>
      </c>
      <c r="H21" s="14">
        <f>1-LT!F38</f>
        <v>0.5691069032</v>
      </c>
      <c r="I21" s="15">
        <f t="shared" si="2"/>
        <v>0.4308930968</v>
      </c>
      <c r="J21" s="16" t="str">
        <f>LT!G19</f>
        <v/>
      </c>
      <c r="K21" s="22">
        <f>LT!L38</f>
        <v>7.085565578</v>
      </c>
      <c r="L21" s="15">
        <f t="shared" si="3"/>
        <v>0.5691069032</v>
      </c>
      <c r="M21" s="18">
        <f t="shared" si="4"/>
        <v>0.4308930968</v>
      </c>
      <c r="N21" s="19">
        <f t="shared" si="11"/>
        <v>24486.1498</v>
      </c>
      <c r="O21" s="20">
        <f t="shared" si="5"/>
        <v>10550.91292</v>
      </c>
      <c r="P21" s="20">
        <f>C21+(F21*(I21/M21)*(J21-C21))</f>
        <v>0</v>
      </c>
      <c r="Q21" s="19">
        <f t="shared" si="7"/>
        <v>69676.18443</v>
      </c>
      <c r="R21" s="19">
        <f t="shared" si="8"/>
        <v>147120.9379</v>
      </c>
      <c r="S21" s="12">
        <f t="shared" si="9"/>
        <v>6.008332836</v>
      </c>
      <c r="T21" s="21">
        <f t="shared" si="10"/>
        <v>-1.077232742</v>
      </c>
    </row>
    <row r="22" ht="15.0" customHeight="1">
      <c r="B22" s="32">
        <v>85.0</v>
      </c>
      <c r="C22" s="33">
        <v>5.0</v>
      </c>
      <c r="D22" s="34">
        <v>929.0</v>
      </c>
      <c r="E22" s="11">
        <v>0.0</v>
      </c>
      <c r="F22" s="35">
        <f t="shared" si="1"/>
        <v>1</v>
      </c>
      <c r="G22" s="36">
        <f>LT!H39</f>
        <v>13673.26443</v>
      </c>
      <c r="H22" s="37">
        <f>1-LT!F39</f>
        <v>0</v>
      </c>
      <c r="I22" s="38">
        <f t="shared" si="2"/>
        <v>1</v>
      </c>
      <c r="J22" s="39" t="str">
        <f>LT!G20</f>
        <v/>
      </c>
      <c r="K22" s="40">
        <f>LT!L39</f>
        <v>5.557476639</v>
      </c>
      <c r="L22" s="38">
        <f t="shared" si="3"/>
        <v>0</v>
      </c>
      <c r="M22" s="41">
        <f t="shared" si="4"/>
        <v>1</v>
      </c>
      <c r="N22" s="42">
        <f t="shared" si="11"/>
        <v>13935.23689</v>
      </c>
      <c r="O22" s="43">
        <f t="shared" si="5"/>
        <v>13935.23689</v>
      </c>
      <c r="P22" s="38">
        <f>K22/F22</f>
        <v>5.557476639</v>
      </c>
      <c r="Q22" s="40">
        <f>N22/LT!E39</f>
        <v>77444.75345</v>
      </c>
      <c r="R22" s="42">
        <f>Q22</f>
        <v>77444.75345</v>
      </c>
      <c r="S22" s="35">
        <f t="shared" si="9"/>
        <v>5.557476639</v>
      </c>
      <c r="T22" s="44">
        <f t="shared" si="10"/>
        <v>0</v>
      </c>
    </row>
    <row r="23" ht="15.75" customHeight="1"/>
    <row r="24" ht="15.0" customHeight="1">
      <c r="B24" s="45" t="s">
        <v>17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3"/>
    </row>
    <row r="25" ht="15.75" customHeight="1">
      <c r="C25" s="46"/>
      <c r="D25" s="46"/>
      <c r="E25" s="46"/>
      <c r="F25" s="46"/>
    </row>
    <row r="26" ht="33.0" customHeight="1">
      <c r="B26" s="4" t="s">
        <v>1</v>
      </c>
      <c r="C26" s="5" t="s">
        <v>2</v>
      </c>
      <c r="D26" s="5" t="s">
        <v>3</v>
      </c>
      <c r="E26" s="5" t="s">
        <v>4</v>
      </c>
      <c r="F26" s="5"/>
      <c r="G26" s="6"/>
      <c r="H26" s="6"/>
      <c r="I26" s="6" t="s">
        <v>5</v>
      </c>
      <c r="J26" s="6"/>
      <c r="K26" s="7" t="s">
        <v>6</v>
      </c>
      <c r="L26" s="6"/>
      <c r="M26" s="6" t="s">
        <v>7</v>
      </c>
      <c r="N26" s="6"/>
      <c r="O26" s="6" t="s">
        <v>8</v>
      </c>
      <c r="P26" s="6"/>
      <c r="Q26" s="6" t="s">
        <v>9</v>
      </c>
      <c r="R26" s="6" t="s">
        <v>10</v>
      </c>
      <c r="S26" s="7" t="s">
        <v>11</v>
      </c>
      <c r="T26" s="8" t="s">
        <v>12</v>
      </c>
      <c r="AA26" s="47" t="s">
        <v>18</v>
      </c>
      <c r="AB26" s="47" t="s">
        <v>19</v>
      </c>
    </row>
    <row r="27" ht="15.75" customHeight="1">
      <c r="B27" s="9">
        <v>0.0</v>
      </c>
      <c r="C27" s="10">
        <v>1.0</v>
      </c>
      <c r="D27" s="11">
        <v>117.0</v>
      </c>
      <c r="E27" s="11">
        <v>0.0</v>
      </c>
      <c r="F27" s="12">
        <f t="shared" ref="F27:F45" si="13">(D27-E27)/D27</f>
        <v>1</v>
      </c>
      <c r="G27" s="48">
        <f>LT!H78</f>
        <v>100000</v>
      </c>
      <c r="H27" s="49">
        <f>1-LT!F78</f>
        <v>0.9899133268</v>
      </c>
      <c r="I27" s="15">
        <f t="shared" ref="I27:I45" si="14">1-H27</f>
        <v>0.01008667323</v>
      </c>
      <c r="J27" s="50">
        <f>LT!G78</f>
        <v>0.08150678733</v>
      </c>
      <c r="K27" s="51">
        <f>LT!L78</f>
        <v>74.43485334</v>
      </c>
      <c r="L27" s="15">
        <f t="shared" ref="L27:L45" si="15">H27^F27</f>
        <v>0.9899133268</v>
      </c>
      <c r="M27" s="18">
        <f t="shared" ref="M27:M45" si="16">1-L27</f>
        <v>0.01008667323</v>
      </c>
      <c r="N27" s="19">
        <v>100000.0</v>
      </c>
      <c r="O27" s="20">
        <f t="shared" ref="O27:O45" si="17">N27*M27</f>
        <v>1008.667323</v>
      </c>
      <c r="P27" s="20">
        <f t="shared" ref="P27:P29" si="18">C27+(F27*(I27/M27)*(J27-C27))</f>
        <v>0.08150678733</v>
      </c>
      <c r="Q27" s="19">
        <f t="shared" ref="Q27:Q44" si="19">(C27*N28)+(P27*O27)</f>
        <v>99073.54591</v>
      </c>
      <c r="R27" s="19">
        <f t="shared" ref="R27:R44" si="20">R28+Q27</f>
        <v>7459836.898</v>
      </c>
      <c r="S27" s="51">
        <f t="shared" ref="S27:S45" si="21">R27/N27</f>
        <v>74.59836898</v>
      </c>
      <c r="T27" s="21">
        <f t="shared" ref="T27:T45" si="22">S27-K27</f>
        <v>0.1635156389</v>
      </c>
      <c r="Z27" s="52" t="s">
        <v>20</v>
      </c>
      <c r="AA27" s="30">
        <f>S4</f>
        <v>66.85828404</v>
      </c>
      <c r="AB27" s="30">
        <f>S27</f>
        <v>74.59836898</v>
      </c>
    </row>
    <row r="28" ht="15.75" customHeight="1">
      <c r="B28" s="9">
        <v>1.0</v>
      </c>
      <c r="C28" s="10">
        <v>4.0</v>
      </c>
      <c r="D28" s="11">
        <v>17.0</v>
      </c>
      <c r="E28" s="11">
        <v>0.0</v>
      </c>
      <c r="F28" s="12">
        <f t="shared" si="13"/>
        <v>1</v>
      </c>
      <c r="G28" s="48">
        <f>LT!H79</f>
        <v>98991.33268</v>
      </c>
      <c r="H28" s="49">
        <f>1-LT!F79</f>
        <v>0.9984343292</v>
      </c>
      <c r="I28" s="15">
        <f t="shared" si="14"/>
        <v>0.001565670797</v>
      </c>
      <c r="J28" s="50">
        <f>LT!G79</f>
        <v>1.537454751</v>
      </c>
      <c r="K28" s="53">
        <f>LT!L79</f>
        <v>74.19247311</v>
      </c>
      <c r="L28" s="15">
        <f t="shared" si="15"/>
        <v>0.9984343292</v>
      </c>
      <c r="M28" s="18">
        <f t="shared" si="16"/>
        <v>0.001565670797</v>
      </c>
      <c r="N28" s="19">
        <f t="shared" ref="N28:N45" si="23">N27*L27</f>
        <v>98991.33268</v>
      </c>
      <c r="O28" s="20">
        <f t="shared" si="17"/>
        <v>154.9878388</v>
      </c>
      <c r="P28" s="20">
        <f t="shared" si="18"/>
        <v>1.537454751</v>
      </c>
      <c r="Q28" s="19">
        <f t="shared" si="19"/>
        <v>395583.6661</v>
      </c>
      <c r="R28" s="19">
        <f t="shared" si="20"/>
        <v>7360763.352</v>
      </c>
      <c r="S28" s="12">
        <f t="shared" si="21"/>
        <v>74.35765489</v>
      </c>
      <c r="T28" s="21">
        <f t="shared" si="22"/>
        <v>0.1651817735</v>
      </c>
      <c r="U28" s="54"/>
      <c r="V28" s="23" t="s">
        <v>21</v>
      </c>
      <c r="W28" s="24"/>
      <c r="Z28" s="52" t="s">
        <v>22</v>
      </c>
      <c r="AA28" s="30">
        <f>K4</f>
        <v>66.51570216</v>
      </c>
      <c r="AB28" s="30">
        <f>K27</f>
        <v>74.43485334</v>
      </c>
    </row>
    <row r="29" ht="15.75" customHeight="1">
      <c r="B29" s="9">
        <v>5.0</v>
      </c>
      <c r="C29" s="10">
        <v>5.0</v>
      </c>
      <c r="D29" s="11">
        <v>6.0</v>
      </c>
      <c r="E29" s="11">
        <v>1.0</v>
      </c>
      <c r="F29" s="12">
        <f t="shared" si="13"/>
        <v>0.8333333333</v>
      </c>
      <c r="G29" s="48">
        <f>LT!H80</f>
        <v>98836.34484</v>
      </c>
      <c r="H29" s="49">
        <f>1-LT!F80</f>
        <v>0.9994845007</v>
      </c>
      <c r="I29" s="15">
        <f t="shared" si="14"/>
        <v>0.000515499347</v>
      </c>
      <c r="J29" s="50">
        <f>LT!G80</f>
        <v>2.5</v>
      </c>
      <c r="K29" s="53">
        <f>LT!L80</f>
        <v>70.30640534</v>
      </c>
      <c r="L29" s="15">
        <f t="shared" si="15"/>
        <v>0.9995703988</v>
      </c>
      <c r="M29" s="18">
        <f t="shared" si="16"/>
        <v>0.000429601247</v>
      </c>
      <c r="N29" s="19">
        <f t="shared" si="23"/>
        <v>98836.34484</v>
      </c>
      <c r="O29" s="20">
        <f t="shared" si="17"/>
        <v>42.46021699</v>
      </c>
      <c r="P29" s="20">
        <f t="shared" si="18"/>
        <v>2.500107413</v>
      </c>
      <c r="Q29" s="19">
        <f t="shared" si="19"/>
        <v>494075.5782</v>
      </c>
      <c r="R29" s="19">
        <f t="shared" si="20"/>
        <v>6965179.686</v>
      </c>
      <c r="S29" s="12">
        <f t="shared" si="21"/>
        <v>70.47184613</v>
      </c>
      <c r="T29" s="21">
        <f t="shared" si="22"/>
        <v>0.1654407993</v>
      </c>
      <c r="U29" s="54"/>
      <c r="V29" s="25"/>
      <c r="W29" s="26"/>
      <c r="AA29" s="55">
        <f t="shared" ref="AA29:AB29" si="24">AA27-AA28</f>
        <v>0.34258188</v>
      </c>
      <c r="AB29" s="55">
        <f t="shared" si="24"/>
        <v>0.1635156389</v>
      </c>
    </row>
    <row r="30" ht="15.75" customHeight="1">
      <c r="B30" s="9">
        <v>10.0</v>
      </c>
      <c r="C30" s="10">
        <v>5.0</v>
      </c>
      <c r="D30" s="11">
        <v>15.0</v>
      </c>
      <c r="E30" s="11">
        <v>0.0</v>
      </c>
      <c r="F30" s="12">
        <f t="shared" si="13"/>
        <v>1</v>
      </c>
      <c r="G30" s="48">
        <f>LT!H81</f>
        <v>98785.39477</v>
      </c>
      <c r="H30" s="49">
        <f>1-LT!F81</f>
        <v>0.9987286735</v>
      </c>
      <c r="I30" s="15">
        <f t="shared" si="14"/>
        <v>0.001271326502</v>
      </c>
      <c r="J30" s="50">
        <f>LT!G81</f>
        <v>2.5</v>
      </c>
      <c r="K30" s="53">
        <f>LT!L81</f>
        <v>65.34137752</v>
      </c>
      <c r="L30" s="15">
        <f t="shared" si="15"/>
        <v>0.9987286735</v>
      </c>
      <c r="M30" s="18">
        <f t="shared" si="16"/>
        <v>0.001271326502</v>
      </c>
      <c r="N30" s="19">
        <f t="shared" si="23"/>
        <v>98793.88462</v>
      </c>
      <c r="O30" s="20">
        <f t="shared" si="17"/>
        <v>125.5992838</v>
      </c>
      <c r="P30" s="15">
        <f t="shared" ref="P30:P43" si="25">(((-5/24)*O29)+((2.5)*O30)+((5/24)*O31))/O30</f>
        <v>2.826872944</v>
      </c>
      <c r="Q30" s="19">
        <f t="shared" si="19"/>
        <v>493696.4799</v>
      </c>
      <c r="R30" s="19">
        <f t="shared" si="20"/>
        <v>6471104.108</v>
      </c>
      <c r="S30" s="12">
        <f t="shared" si="21"/>
        <v>65.50105943</v>
      </c>
      <c r="T30" s="21">
        <f t="shared" si="22"/>
        <v>0.1596819073</v>
      </c>
      <c r="U30" s="54"/>
      <c r="V30" s="27"/>
      <c r="W30" s="28"/>
    </row>
    <row r="31" ht="15.75" customHeight="1">
      <c r="B31" s="9">
        <v>15.0</v>
      </c>
      <c r="C31" s="10">
        <v>5.0</v>
      </c>
      <c r="D31" s="11">
        <v>33.0</v>
      </c>
      <c r="E31" s="11">
        <v>4.0</v>
      </c>
      <c r="F31" s="12">
        <f t="shared" si="13"/>
        <v>0.8787878788</v>
      </c>
      <c r="G31" s="48">
        <f>LT!H82</f>
        <v>98659.80628</v>
      </c>
      <c r="H31" s="49">
        <f>1-LT!F82</f>
        <v>0.9972380546</v>
      </c>
      <c r="I31" s="15">
        <f t="shared" si="14"/>
        <v>0.002761945414</v>
      </c>
      <c r="J31" s="50">
        <f>LT!G82</f>
        <v>2.5</v>
      </c>
      <c r="K31" s="53">
        <f>LT!L82</f>
        <v>60.42137113</v>
      </c>
      <c r="L31" s="15">
        <f t="shared" si="15"/>
        <v>0.9975724291</v>
      </c>
      <c r="M31" s="18">
        <f t="shared" si="16"/>
        <v>0.002427570856</v>
      </c>
      <c r="N31" s="19">
        <f t="shared" si="23"/>
        <v>98668.28534</v>
      </c>
      <c r="O31" s="20">
        <f t="shared" si="17"/>
        <v>239.5242539</v>
      </c>
      <c r="P31" s="15">
        <f t="shared" si="25"/>
        <v>2.682860897</v>
      </c>
      <c r="Q31" s="19">
        <f t="shared" si="19"/>
        <v>492786.4157</v>
      </c>
      <c r="R31" s="19">
        <f t="shared" si="20"/>
        <v>5977407.628</v>
      </c>
      <c r="S31" s="12">
        <f t="shared" si="21"/>
        <v>60.58084021</v>
      </c>
      <c r="T31" s="21">
        <f t="shared" si="22"/>
        <v>0.1594690823</v>
      </c>
      <c r="U31" s="47"/>
      <c r="V31" s="29" t="s">
        <v>14</v>
      </c>
      <c r="W31" s="29" t="s">
        <v>15</v>
      </c>
    </row>
    <row r="32" ht="15.75" customHeight="1">
      <c r="B32" s="9">
        <v>20.0</v>
      </c>
      <c r="C32" s="10">
        <v>5.0</v>
      </c>
      <c r="D32" s="11">
        <v>45.0</v>
      </c>
      <c r="E32" s="11">
        <v>6.0</v>
      </c>
      <c r="F32" s="12">
        <f t="shared" si="13"/>
        <v>0.8666666667</v>
      </c>
      <c r="G32" s="48">
        <f>LT!H83</f>
        <v>98387.31328</v>
      </c>
      <c r="H32" s="49">
        <f>1-LT!F83</f>
        <v>0.9960641285</v>
      </c>
      <c r="I32" s="15">
        <f t="shared" si="14"/>
        <v>0.003935871533</v>
      </c>
      <c r="J32" s="50">
        <f>LT!G83</f>
        <v>2.5</v>
      </c>
      <c r="K32" s="53">
        <f>LT!L83</f>
        <v>55.58178986</v>
      </c>
      <c r="L32" s="15">
        <f t="shared" si="15"/>
        <v>0.996588015</v>
      </c>
      <c r="M32" s="18">
        <f t="shared" si="16"/>
        <v>0.003411985036</v>
      </c>
      <c r="N32" s="19">
        <f t="shared" si="23"/>
        <v>98428.76108</v>
      </c>
      <c r="O32" s="20">
        <f t="shared" si="17"/>
        <v>335.8374599</v>
      </c>
      <c r="P32" s="15">
        <f t="shared" si="25"/>
        <v>2.684818743</v>
      </c>
      <c r="Q32" s="19">
        <f t="shared" si="19"/>
        <v>491366.2808</v>
      </c>
      <c r="R32" s="19">
        <f t="shared" si="20"/>
        <v>5484621.212</v>
      </c>
      <c r="S32" s="12">
        <f t="shared" si="21"/>
        <v>55.72173369</v>
      </c>
      <c r="T32" s="21">
        <f t="shared" si="22"/>
        <v>0.1399438253</v>
      </c>
      <c r="U32" s="55"/>
      <c r="V32" s="30" t="str">
        <f>([1]TV!M29-[1]TV!M47)/[1]TV!J29</f>
        <v>#ERROR!</v>
      </c>
      <c r="W32" s="30">
        <f>(R27-R45)/N27</f>
        <v>72.80185458</v>
      </c>
    </row>
    <row r="33" ht="15.75" customHeight="1">
      <c r="B33" s="9">
        <v>25.0</v>
      </c>
      <c r="C33" s="10">
        <v>5.0</v>
      </c>
      <c r="D33" s="11">
        <v>63.0</v>
      </c>
      <c r="E33" s="11">
        <v>4.0</v>
      </c>
      <c r="F33" s="12">
        <f t="shared" si="13"/>
        <v>0.9365079365</v>
      </c>
      <c r="G33" s="48">
        <f>LT!H84</f>
        <v>98000.07345</v>
      </c>
      <c r="H33" s="49">
        <f>1-LT!F84</f>
        <v>0.9941505808</v>
      </c>
      <c r="I33" s="15">
        <f t="shared" si="14"/>
        <v>0.005849419236</v>
      </c>
      <c r="J33" s="50">
        <f>LT!G84</f>
        <v>2.5</v>
      </c>
      <c r="K33" s="53">
        <f>LT!L84</f>
        <v>50.79153851</v>
      </c>
      <c r="L33" s="15">
        <f t="shared" si="15"/>
        <v>0.9945209531</v>
      </c>
      <c r="M33" s="18">
        <f t="shared" si="16"/>
        <v>0.005479046901</v>
      </c>
      <c r="N33" s="19">
        <f t="shared" si="23"/>
        <v>98092.92362</v>
      </c>
      <c r="O33" s="20">
        <f t="shared" si="17"/>
        <v>537.4557292</v>
      </c>
      <c r="P33" s="15">
        <f t="shared" si="25"/>
        <v>2.595225457</v>
      </c>
      <c r="Q33" s="19">
        <f t="shared" si="19"/>
        <v>489172.1583</v>
      </c>
      <c r="R33" s="19">
        <f t="shared" si="20"/>
        <v>4993254.931</v>
      </c>
      <c r="S33" s="12">
        <f t="shared" si="21"/>
        <v>50.9033144</v>
      </c>
      <c r="T33" s="21">
        <f t="shared" si="22"/>
        <v>0.1117758867</v>
      </c>
      <c r="V33" s="31" t="s">
        <v>16</v>
      </c>
      <c r="W33" s="30" t="str">
        <f>W32-V32</f>
        <v>#ERROR!</v>
      </c>
    </row>
    <row r="34" ht="15.75" customHeight="1">
      <c r="B34" s="9">
        <v>30.0</v>
      </c>
      <c r="C34" s="10">
        <v>5.0</v>
      </c>
      <c r="D34" s="11">
        <v>64.0</v>
      </c>
      <c r="E34" s="11">
        <v>3.0</v>
      </c>
      <c r="F34" s="12">
        <f t="shared" si="13"/>
        <v>0.953125</v>
      </c>
      <c r="G34" s="48">
        <f>LT!H85</f>
        <v>97426.82994</v>
      </c>
      <c r="H34" s="49">
        <f>1-LT!F85</f>
        <v>0.9937470689</v>
      </c>
      <c r="I34" s="15">
        <f t="shared" si="14"/>
        <v>0.006252931061</v>
      </c>
      <c r="J34" s="50">
        <f>LT!G85</f>
        <v>2.5</v>
      </c>
      <c r="K34" s="53">
        <f>LT!L85</f>
        <v>46.07567802</v>
      </c>
      <c r="L34" s="15">
        <f t="shared" si="15"/>
        <v>0.9940392997</v>
      </c>
      <c r="M34" s="18">
        <f t="shared" si="16"/>
        <v>0.005960700261</v>
      </c>
      <c r="N34" s="19">
        <f t="shared" si="23"/>
        <v>97555.46789</v>
      </c>
      <c r="O34" s="20">
        <f t="shared" si="17"/>
        <v>581.4989029</v>
      </c>
      <c r="P34" s="15">
        <f t="shared" si="25"/>
        <v>2.582312776</v>
      </c>
      <c r="Q34" s="19">
        <f t="shared" si="19"/>
        <v>486371.457</v>
      </c>
      <c r="R34" s="19">
        <f t="shared" si="20"/>
        <v>4504082.773</v>
      </c>
      <c r="S34" s="12">
        <f t="shared" si="21"/>
        <v>46.16945488</v>
      </c>
      <c r="T34" s="21">
        <f t="shared" si="22"/>
        <v>0.09377686251</v>
      </c>
    </row>
    <row r="35" ht="15.75" customHeight="1">
      <c r="B35" s="9">
        <v>35.0</v>
      </c>
      <c r="C35" s="10">
        <v>5.0</v>
      </c>
      <c r="D35" s="11">
        <v>82.0</v>
      </c>
      <c r="E35" s="11">
        <v>1.0</v>
      </c>
      <c r="F35" s="12">
        <f t="shared" si="13"/>
        <v>0.987804878</v>
      </c>
      <c r="G35" s="48">
        <f>LT!H86</f>
        <v>96817.62669</v>
      </c>
      <c r="H35" s="49">
        <f>1-LT!F86</f>
        <v>0.991991249</v>
      </c>
      <c r="I35" s="15">
        <f t="shared" si="14"/>
        <v>0.008008751026</v>
      </c>
      <c r="J35" s="50">
        <f>LT!G86</f>
        <v>2.5</v>
      </c>
      <c r="K35" s="53">
        <f>LT!L86</f>
        <v>41.34986822</v>
      </c>
      <c r="L35" s="15">
        <f t="shared" si="15"/>
        <v>0.9920885293</v>
      </c>
      <c r="M35" s="18">
        <f t="shared" si="16"/>
        <v>0.007911470707</v>
      </c>
      <c r="N35" s="19">
        <f t="shared" si="23"/>
        <v>96973.96899</v>
      </c>
      <c r="O35" s="20">
        <f t="shared" si="17"/>
        <v>767.206715</v>
      </c>
      <c r="P35" s="15">
        <f t="shared" si="25"/>
        <v>2.725557733</v>
      </c>
      <c r="Q35" s="19">
        <f t="shared" si="19"/>
        <v>483124.8776</v>
      </c>
      <c r="R35" s="19">
        <f t="shared" si="20"/>
        <v>4017711.316</v>
      </c>
      <c r="S35" s="12">
        <f t="shared" si="21"/>
        <v>41.4308227</v>
      </c>
      <c r="T35" s="21">
        <f t="shared" si="22"/>
        <v>0.08095448403</v>
      </c>
    </row>
    <row r="36" ht="15.75" customHeight="1">
      <c r="B36" s="9">
        <v>40.0</v>
      </c>
      <c r="C36" s="10">
        <v>5.0</v>
      </c>
      <c r="D36" s="11">
        <v>142.0</v>
      </c>
      <c r="E36" s="11">
        <v>2.0</v>
      </c>
      <c r="F36" s="12">
        <f t="shared" si="13"/>
        <v>0.985915493</v>
      </c>
      <c r="G36" s="48">
        <f>LT!H87</f>
        <v>96042.23842</v>
      </c>
      <c r="H36" s="49">
        <f>1-LT!F87</f>
        <v>0.9851137436</v>
      </c>
      <c r="I36" s="15">
        <f t="shared" si="14"/>
        <v>0.01488625642</v>
      </c>
      <c r="J36" s="50">
        <f>LT!G87</f>
        <v>2.5</v>
      </c>
      <c r="K36" s="53">
        <f>LT!L87</f>
        <v>36.66351909</v>
      </c>
      <c r="L36" s="15">
        <f t="shared" si="15"/>
        <v>0.9853218628</v>
      </c>
      <c r="M36" s="18">
        <f t="shared" si="16"/>
        <v>0.01467813723</v>
      </c>
      <c r="N36" s="19">
        <f t="shared" si="23"/>
        <v>96206.76228</v>
      </c>
      <c r="O36" s="20">
        <f t="shared" si="17"/>
        <v>1412.136059</v>
      </c>
      <c r="P36" s="15">
        <f t="shared" si="25"/>
        <v>2.712586713</v>
      </c>
      <c r="Q36" s="19">
        <f t="shared" si="19"/>
        <v>477803.6726</v>
      </c>
      <c r="R36" s="19">
        <f t="shared" si="20"/>
        <v>3534586.439</v>
      </c>
      <c r="S36" s="12">
        <f t="shared" si="21"/>
        <v>36.73948021</v>
      </c>
      <c r="T36" s="21">
        <f t="shared" si="22"/>
        <v>0.07596111515</v>
      </c>
    </row>
    <row r="37" ht="15.75" customHeight="1">
      <c r="B37" s="9">
        <v>45.0</v>
      </c>
      <c r="C37" s="10">
        <v>5.0</v>
      </c>
      <c r="D37" s="11">
        <v>201.0</v>
      </c>
      <c r="E37" s="11">
        <v>1.0</v>
      </c>
      <c r="F37" s="12">
        <f t="shared" si="13"/>
        <v>0.9950248756</v>
      </c>
      <c r="G37" s="48">
        <f>LT!H88</f>
        <v>94612.52903</v>
      </c>
      <c r="H37" s="49">
        <f>1-LT!F88</f>
        <v>0.9765906153</v>
      </c>
      <c r="I37" s="15">
        <f t="shared" si="14"/>
        <v>0.02340938472</v>
      </c>
      <c r="J37" s="50">
        <f>LT!G88</f>
        <v>2.5</v>
      </c>
      <c r="K37" s="53">
        <f>LT!L88</f>
        <v>32.17977106</v>
      </c>
      <c r="L37" s="15">
        <f t="shared" si="15"/>
        <v>0.9767057127</v>
      </c>
      <c r="M37" s="18">
        <f t="shared" si="16"/>
        <v>0.02329428728</v>
      </c>
      <c r="N37" s="19">
        <f t="shared" si="23"/>
        <v>94794.62622</v>
      </c>
      <c r="O37" s="20">
        <f t="shared" si="17"/>
        <v>2208.173256</v>
      </c>
      <c r="P37" s="15">
        <f t="shared" si="25"/>
        <v>2.672049238</v>
      </c>
      <c r="Q37" s="19">
        <f t="shared" si="19"/>
        <v>468832.6125</v>
      </c>
      <c r="R37" s="19">
        <f t="shared" si="20"/>
        <v>3056782.766</v>
      </c>
      <c r="S37" s="12">
        <f t="shared" si="21"/>
        <v>32.24637184</v>
      </c>
      <c r="T37" s="21">
        <f t="shared" si="22"/>
        <v>0.06660078769</v>
      </c>
    </row>
    <row r="38" ht="15.75" customHeight="1">
      <c r="B38" s="9">
        <v>50.0</v>
      </c>
      <c r="C38" s="10">
        <v>5.0</v>
      </c>
      <c r="D38" s="11">
        <v>269.0</v>
      </c>
      <c r="E38" s="11">
        <v>2.0</v>
      </c>
      <c r="F38" s="12">
        <f t="shared" si="13"/>
        <v>0.9925650558</v>
      </c>
      <c r="G38" s="48">
        <f>LT!H89</f>
        <v>92397.70794</v>
      </c>
      <c r="H38" s="49">
        <f>1-LT!F89</f>
        <v>0.9647947231</v>
      </c>
      <c r="I38" s="15">
        <f t="shared" si="14"/>
        <v>0.03520527687</v>
      </c>
      <c r="J38" s="50">
        <f>LT!G89</f>
        <v>2.5</v>
      </c>
      <c r="K38" s="53">
        <f>LT!L89</f>
        <v>27.8912106</v>
      </c>
      <c r="L38" s="15">
        <f t="shared" si="15"/>
        <v>0.9650518441</v>
      </c>
      <c r="M38" s="18">
        <f t="shared" si="16"/>
        <v>0.03494815586</v>
      </c>
      <c r="N38" s="19">
        <f t="shared" si="23"/>
        <v>92586.45296</v>
      </c>
      <c r="O38" s="20">
        <f t="shared" si="17"/>
        <v>3235.725789</v>
      </c>
      <c r="P38" s="15">
        <f t="shared" si="25"/>
        <v>2.691777141</v>
      </c>
      <c r="Q38" s="19">
        <f t="shared" si="19"/>
        <v>455463.4886</v>
      </c>
      <c r="R38" s="19">
        <f t="shared" si="20"/>
        <v>2587950.153</v>
      </c>
      <c r="S38" s="12">
        <f t="shared" si="21"/>
        <v>27.95171508</v>
      </c>
      <c r="T38" s="21">
        <f t="shared" si="22"/>
        <v>0.06050448163</v>
      </c>
    </row>
    <row r="39" ht="15.75" customHeight="1">
      <c r="B39" s="9">
        <v>55.0</v>
      </c>
      <c r="C39" s="10">
        <v>5.0</v>
      </c>
      <c r="D39" s="11">
        <v>352.0</v>
      </c>
      <c r="E39" s="11">
        <v>0.0</v>
      </c>
      <c r="F39" s="12">
        <f t="shared" si="13"/>
        <v>1</v>
      </c>
      <c r="G39" s="48">
        <f>LT!H90</f>
        <v>89144.82105</v>
      </c>
      <c r="H39" s="49">
        <f>1-LT!F90</f>
        <v>0.941950592</v>
      </c>
      <c r="I39" s="15">
        <f t="shared" si="14"/>
        <v>0.05804940796</v>
      </c>
      <c r="J39" s="50">
        <f>LT!G90</f>
        <v>2.5</v>
      </c>
      <c r="K39" s="53">
        <f>LT!L90</f>
        <v>23.8177337</v>
      </c>
      <c r="L39" s="15">
        <f t="shared" si="15"/>
        <v>0.941950592</v>
      </c>
      <c r="M39" s="18">
        <f t="shared" si="16"/>
        <v>0.05804940796</v>
      </c>
      <c r="N39" s="19">
        <f t="shared" si="23"/>
        <v>89350.72717</v>
      </c>
      <c r="O39" s="20">
        <f t="shared" si="17"/>
        <v>5186.756813</v>
      </c>
      <c r="P39" s="15">
        <f t="shared" si="25"/>
        <v>2.629321488</v>
      </c>
      <c r="Q39" s="19">
        <f t="shared" si="19"/>
        <v>434457.5029</v>
      </c>
      <c r="R39" s="19">
        <f t="shared" si="20"/>
        <v>2132486.665</v>
      </c>
      <c r="S39" s="12">
        <f t="shared" si="21"/>
        <v>23.86647241</v>
      </c>
      <c r="T39" s="21">
        <f t="shared" si="22"/>
        <v>0.04873871007</v>
      </c>
    </row>
    <row r="40" ht="15.75" customHeight="1">
      <c r="B40" s="9">
        <v>60.0</v>
      </c>
      <c r="C40" s="10">
        <v>5.0</v>
      </c>
      <c r="D40" s="11">
        <v>386.0</v>
      </c>
      <c r="E40" s="11">
        <v>0.0</v>
      </c>
      <c r="F40" s="12">
        <f t="shared" si="13"/>
        <v>1</v>
      </c>
      <c r="G40" s="48">
        <f>LT!H91</f>
        <v>83970.01696</v>
      </c>
      <c r="H40" s="49">
        <f>1-LT!F91</f>
        <v>0.9233000835</v>
      </c>
      <c r="I40" s="15">
        <f t="shared" si="14"/>
        <v>0.07669991654</v>
      </c>
      <c r="J40" s="50">
        <f>LT!G91</f>
        <v>2.5</v>
      </c>
      <c r="K40" s="53">
        <f>LT!L91</f>
        <v>20.13147757</v>
      </c>
      <c r="L40" s="15">
        <f t="shared" si="15"/>
        <v>0.9233000835</v>
      </c>
      <c r="M40" s="18">
        <f t="shared" si="16"/>
        <v>0.07669991654</v>
      </c>
      <c r="N40" s="19">
        <f t="shared" si="23"/>
        <v>84163.97036</v>
      </c>
      <c r="O40" s="20">
        <f t="shared" si="17"/>
        <v>6455.369503</v>
      </c>
      <c r="P40" s="15">
        <f t="shared" si="25"/>
        <v>2.63569568</v>
      </c>
      <c r="Q40" s="19">
        <f t="shared" si="19"/>
        <v>405557.3938</v>
      </c>
      <c r="R40" s="19">
        <f t="shared" si="20"/>
        <v>1698029.162</v>
      </c>
      <c r="S40" s="12">
        <f t="shared" si="21"/>
        <v>20.17525022</v>
      </c>
      <c r="T40" s="21">
        <f t="shared" si="22"/>
        <v>0.04377265073</v>
      </c>
    </row>
    <row r="41" ht="15.75" customHeight="1">
      <c r="B41" s="9">
        <v>65.0</v>
      </c>
      <c r="C41" s="10">
        <v>5.0</v>
      </c>
      <c r="D41" s="11">
        <v>454.0</v>
      </c>
      <c r="E41" s="11">
        <v>0.0</v>
      </c>
      <c r="F41" s="12">
        <f t="shared" si="13"/>
        <v>1</v>
      </c>
      <c r="G41" s="48">
        <f>LT!H92</f>
        <v>77529.52367</v>
      </c>
      <c r="H41" s="49">
        <f>1-LT!F92</f>
        <v>0.8791460363</v>
      </c>
      <c r="I41" s="15">
        <f t="shared" si="14"/>
        <v>0.1208539637</v>
      </c>
      <c r="J41" s="50">
        <f>LT!G92</f>
        <v>2.5</v>
      </c>
      <c r="K41" s="53">
        <f>LT!L92</f>
        <v>16.59615074</v>
      </c>
      <c r="L41" s="15">
        <f t="shared" si="15"/>
        <v>0.8791460363</v>
      </c>
      <c r="M41" s="18">
        <f t="shared" si="16"/>
        <v>0.1208539637</v>
      </c>
      <c r="N41" s="19">
        <f t="shared" si="23"/>
        <v>77708.60086</v>
      </c>
      <c r="O41" s="20">
        <f t="shared" si="17"/>
        <v>9391.392427</v>
      </c>
      <c r="P41" s="15">
        <f t="shared" si="25"/>
        <v>2.603637529</v>
      </c>
      <c r="Q41" s="19">
        <f t="shared" si="19"/>
        <v>366037.8239</v>
      </c>
      <c r="R41" s="19">
        <f t="shared" si="20"/>
        <v>1292471.768</v>
      </c>
      <c r="S41" s="12">
        <f t="shared" si="21"/>
        <v>16.63228721</v>
      </c>
      <c r="T41" s="21">
        <f t="shared" si="22"/>
        <v>0.03613646746</v>
      </c>
    </row>
    <row r="42" ht="15.75" customHeight="1">
      <c r="B42" s="9">
        <v>70.0</v>
      </c>
      <c r="C42" s="10">
        <v>5.0</v>
      </c>
      <c r="D42" s="11">
        <v>459.0</v>
      </c>
      <c r="E42" s="11">
        <v>0.0</v>
      </c>
      <c r="F42" s="12">
        <f t="shared" si="13"/>
        <v>1</v>
      </c>
      <c r="G42" s="48">
        <f>LT!H93</f>
        <v>68159.77343</v>
      </c>
      <c r="H42" s="49">
        <f>1-LT!F93</f>
        <v>0.8371243036</v>
      </c>
      <c r="I42" s="15">
        <f t="shared" si="14"/>
        <v>0.1628756964</v>
      </c>
      <c r="J42" s="50">
        <f>LT!G93</f>
        <v>2.5</v>
      </c>
      <c r="K42" s="53">
        <f>LT!L93</f>
        <v>13.53391264</v>
      </c>
      <c r="L42" s="15">
        <f t="shared" si="15"/>
        <v>0.8371243036</v>
      </c>
      <c r="M42" s="18">
        <f t="shared" si="16"/>
        <v>0.1628756964</v>
      </c>
      <c r="N42" s="19">
        <f t="shared" si="23"/>
        <v>68317.20843</v>
      </c>
      <c r="O42" s="20">
        <f t="shared" si="17"/>
        <v>11127.2129</v>
      </c>
      <c r="P42" s="15">
        <f t="shared" si="25"/>
        <v>2.576572919</v>
      </c>
      <c r="Q42" s="19">
        <f t="shared" si="19"/>
        <v>314620.0531</v>
      </c>
      <c r="R42" s="19">
        <f t="shared" si="20"/>
        <v>926433.9442</v>
      </c>
      <c r="S42" s="12">
        <f t="shared" si="21"/>
        <v>13.56076991</v>
      </c>
      <c r="T42" s="21">
        <f t="shared" si="22"/>
        <v>0.02685726863</v>
      </c>
    </row>
    <row r="43" ht="15.75" customHeight="1">
      <c r="B43" s="9">
        <v>75.0</v>
      </c>
      <c r="C43" s="10">
        <v>5.0</v>
      </c>
      <c r="D43" s="11">
        <v>481.0</v>
      </c>
      <c r="E43" s="11">
        <v>0.0</v>
      </c>
      <c r="F43" s="12">
        <f t="shared" si="13"/>
        <v>1</v>
      </c>
      <c r="G43" s="48">
        <f>LT!H94</f>
        <v>57058.20287</v>
      </c>
      <c r="H43" s="49">
        <f>1-LT!F94</f>
        <v>0.7642734624</v>
      </c>
      <c r="I43" s="15">
        <f t="shared" si="14"/>
        <v>0.2357265376</v>
      </c>
      <c r="J43" s="50">
        <f>LT!G94</f>
        <v>2.5</v>
      </c>
      <c r="K43" s="53">
        <f>LT!L94</f>
        <v>10.68073384</v>
      </c>
      <c r="L43" s="15">
        <f t="shared" si="15"/>
        <v>0.7642734624</v>
      </c>
      <c r="M43" s="18">
        <f t="shared" si="16"/>
        <v>0.2357265376</v>
      </c>
      <c r="N43" s="19">
        <f t="shared" si="23"/>
        <v>57189.99553</v>
      </c>
      <c r="O43" s="20">
        <f t="shared" si="17"/>
        <v>13481.19963</v>
      </c>
      <c r="P43" s="15">
        <f t="shared" si="25"/>
        <v>2.572899332</v>
      </c>
      <c r="Q43" s="19">
        <f t="shared" si="19"/>
        <v>253229.749</v>
      </c>
      <c r="R43" s="19">
        <f t="shared" si="20"/>
        <v>611813.8911</v>
      </c>
      <c r="S43" s="12">
        <f t="shared" si="21"/>
        <v>10.69791815</v>
      </c>
      <c r="T43" s="21">
        <f t="shared" si="22"/>
        <v>0.01718430718</v>
      </c>
    </row>
    <row r="44" ht="15.75" customHeight="1">
      <c r="B44" s="9">
        <v>80.0</v>
      </c>
      <c r="C44" s="10">
        <v>5.0</v>
      </c>
      <c r="D44" s="11">
        <v>546.0</v>
      </c>
      <c r="E44" s="11">
        <v>0.0</v>
      </c>
      <c r="F44" s="12">
        <f t="shared" si="13"/>
        <v>1</v>
      </c>
      <c r="G44" s="48">
        <f>LT!H95</f>
        <v>43608.07026</v>
      </c>
      <c r="H44" s="49">
        <f>1-LT!F95</f>
        <v>0.6374983402</v>
      </c>
      <c r="I44" s="15">
        <f t="shared" si="14"/>
        <v>0.3625016598</v>
      </c>
      <c r="J44" s="50">
        <f>LT!G95</f>
        <v>2.5</v>
      </c>
      <c r="K44" s="53">
        <f>LT!L95</f>
        <v>8.203935494</v>
      </c>
      <c r="L44" s="15">
        <f t="shared" si="15"/>
        <v>0.6374983402</v>
      </c>
      <c r="M44" s="18">
        <f t="shared" si="16"/>
        <v>0.3625016598</v>
      </c>
      <c r="N44" s="19">
        <f t="shared" si="23"/>
        <v>43708.7959</v>
      </c>
      <c r="O44" s="20">
        <f t="shared" si="17"/>
        <v>15844.51106</v>
      </c>
      <c r="P44" s="20">
        <f>C44+(F44*(I44/M44)*(J44-C44))</f>
        <v>2.5</v>
      </c>
      <c r="Q44" s="19">
        <f t="shared" si="19"/>
        <v>178932.7018</v>
      </c>
      <c r="R44" s="19">
        <f t="shared" si="20"/>
        <v>358584.1421</v>
      </c>
      <c r="S44" s="12">
        <f t="shared" si="21"/>
        <v>8.203935494</v>
      </c>
      <c r="T44" s="21">
        <f t="shared" si="22"/>
        <v>0</v>
      </c>
    </row>
    <row r="45" ht="15.75" customHeight="1">
      <c r="B45" s="32">
        <v>85.0</v>
      </c>
      <c r="C45" s="33">
        <v>5.0</v>
      </c>
      <c r="D45" s="56">
        <v>1034.0</v>
      </c>
      <c r="E45" s="11">
        <v>1.0</v>
      </c>
      <c r="F45" s="35">
        <f t="shared" si="13"/>
        <v>0.999032882</v>
      </c>
      <c r="G45" s="57">
        <f>LT!H96</f>
        <v>27800.07241</v>
      </c>
      <c r="H45" s="58">
        <f>1-LT!F96</f>
        <v>0</v>
      </c>
      <c r="I45" s="38">
        <f t="shared" si="14"/>
        <v>1</v>
      </c>
      <c r="J45" s="59" t="str">
        <f>LT!G96</f>
        <v>NA</v>
      </c>
      <c r="K45" s="60">
        <f>LT!L96</f>
        <v>6.44737309</v>
      </c>
      <c r="L45" s="38">
        <f t="shared" si="15"/>
        <v>0</v>
      </c>
      <c r="M45" s="41">
        <f t="shared" si="16"/>
        <v>1</v>
      </c>
      <c r="N45" s="42">
        <f t="shared" si="23"/>
        <v>27864.28484</v>
      </c>
      <c r="O45" s="43">
        <f t="shared" si="17"/>
        <v>27864.28484</v>
      </c>
      <c r="P45" s="38">
        <f>K45/F45</f>
        <v>6.453614497</v>
      </c>
      <c r="Q45" s="60">
        <f>N45/LT!E96</f>
        <v>179651.4402</v>
      </c>
      <c r="R45" s="42">
        <f>Q45</f>
        <v>179651.4402</v>
      </c>
      <c r="S45" s="35">
        <f t="shared" si="21"/>
        <v>6.44737309</v>
      </c>
      <c r="T45" s="44">
        <f t="shared" si="22"/>
        <v>0</v>
      </c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B2:T2"/>
    <mergeCell ref="V5:W7"/>
    <mergeCell ref="B24:T24"/>
    <mergeCell ref="V28:W30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6" width="10.71"/>
  </cols>
  <sheetData>
    <row r="1">
      <c r="A1" s="61" t="s">
        <v>23</v>
      </c>
      <c r="B1" s="61" t="s">
        <v>24</v>
      </c>
      <c r="C1" s="61" t="s">
        <v>25</v>
      </c>
      <c r="D1" s="61" t="s">
        <v>26</v>
      </c>
      <c r="E1" s="61" t="s">
        <v>27</v>
      </c>
      <c r="F1" s="61" t="s">
        <v>28</v>
      </c>
      <c r="G1" s="61" t="s">
        <v>29</v>
      </c>
      <c r="H1" s="61" t="s">
        <v>30</v>
      </c>
      <c r="I1" s="61" t="s">
        <v>31</v>
      </c>
      <c r="J1" s="61" t="s">
        <v>32</v>
      </c>
      <c r="K1" s="61" t="s">
        <v>33</v>
      </c>
      <c r="L1" s="61" t="s">
        <v>34</v>
      </c>
    </row>
    <row r="2">
      <c r="H2" s="62"/>
    </row>
    <row r="13">
      <c r="Q13" s="34"/>
      <c r="R13" s="34"/>
      <c r="S13" s="34"/>
      <c r="T13" s="34"/>
      <c r="U13" s="63"/>
      <c r="V13" s="34"/>
      <c r="W13" s="34"/>
      <c r="X13" s="34"/>
      <c r="Y13" s="34"/>
    </row>
    <row r="14">
      <c r="Q14" s="34"/>
      <c r="R14" s="34"/>
      <c r="S14" s="34"/>
      <c r="T14" s="34"/>
      <c r="U14" s="34"/>
      <c r="V14" s="34"/>
      <c r="W14" s="34"/>
      <c r="X14" s="34"/>
      <c r="Y14" s="34"/>
    </row>
    <row r="15">
      <c r="Q15" s="34"/>
      <c r="S15" s="34"/>
      <c r="T15" s="34"/>
      <c r="U15" s="34"/>
      <c r="V15" s="34"/>
      <c r="W15" s="34"/>
      <c r="X15" s="34"/>
      <c r="Y15" s="34"/>
    </row>
    <row r="16">
      <c r="Q16" s="34"/>
      <c r="S16" s="34"/>
      <c r="T16" s="34"/>
      <c r="U16" s="34"/>
      <c r="V16" s="34"/>
      <c r="W16" s="34"/>
      <c r="X16" s="34"/>
      <c r="Y16" s="34"/>
    </row>
    <row r="17">
      <c r="Q17" s="34"/>
      <c r="S17" s="34"/>
      <c r="T17" s="34"/>
      <c r="U17" s="34"/>
      <c r="V17" s="34"/>
      <c r="W17" s="34"/>
      <c r="X17" s="34"/>
      <c r="Y17" s="34"/>
    </row>
    <row r="18">
      <c r="Q18" s="34"/>
      <c r="S18" s="34"/>
      <c r="T18" s="34"/>
      <c r="U18" s="34"/>
      <c r="V18" s="34"/>
      <c r="W18" s="34"/>
      <c r="X18" s="34"/>
      <c r="Y18" s="34"/>
    </row>
    <row r="19">
      <c r="Q19" s="34"/>
      <c r="S19" s="34"/>
      <c r="T19" s="34"/>
      <c r="U19" s="34"/>
      <c r="V19" s="34"/>
      <c r="W19" s="34"/>
      <c r="X19" s="34"/>
      <c r="Y19" s="34"/>
    </row>
    <row r="20">
      <c r="Q20" s="34"/>
      <c r="S20" s="34"/>
      <c r="T20" s="34"/>
      <c r="U20" s="34"/>
      <c r="V20" s="34"/>
      <c r="W20" s="34"/>
      <c r="X20" s="34"/>
      <c r="Y20" s="34"/>
    </row>
    <row r="21" ht="15.75" customHeight="1">
      <c r="A21" s="64" t="s">
        <v>35</v>
      </c>
      <c r="B21" s="64">
        <v>2019.0</v>
      </c>
      <c r="C21" s="65" t="s">
        <v>36</v>
      </c>
      <c r="D21" s="64">
        <v>0.0</v>
      </c>
      <c r="E21" s="34">
        <v>0.0119325767690254</v>
      </c>
      <c r="F21" s="34">
        <v>0.011802589588901</v>
      </c>
      <c r="G21" s="34">
        <v>0.0770270360480641</v>
      </c>
      <c r="H21" s="63">
        <v>100000.0</v>
      </c>
      <c r="I21" s="34">
        <v>1180.2589588901</v>
      </c>
      <c r="J21" s="34">
        <v>98910.6528904824</v>
      </c>
      <c r="K21" s="34">
        <v>6651570.21616783</v>
      </c>
      <c r="L21" s="34">
        <v>66.5157021616783</v>
      </c>
      <c r="Q21" s="34"/>
      <c r="S21" s="34"/>
      <c r="T21" s="34"/>
      <c r="U21" s="34"/>
      <c r="V21" s="34"/>
      <c r="W21" s="34"/>
      <c r="X21" s="34"/>
      <c r="Y21" s="34"/>
    </row>
    <row r="22" ht="15.75" customHeight="1">
      <c r="A22" s="64" t="s">
        <v>35</v>
      </c>
      <c r="B22" s="64">
        <v>2019.0</v>
      </c>
      <c r="C22" s="65" t="s">
        <v>36</v>
      </c>
      <c r="D22" s="64">
        <v>1.0</v>
      </c>
      <c r="E22" s="34">
        <v>5.24431675673211E-4</v>
      </c>
      <c r="F22" s="34">
        <v>0.00209518258955879</v>
      </c>
      <c r="G22" s="34">
        <v>1.68460213618158</v>
      </c>
      <c r="H22" s="34">
        <v>98819.7410411099</v>
      </c>
      <c r="I22" s="34">
        <v>207.045400934032</v>
      </c>
      <c r="J22" s="34">
        <v>394799.571685404</v>
      </c>
      <c r="K22" s="34">
        <v>6552659.56327735</v>
      </c>
      <c r="L22" s="34">
        <v>66.3092160963201</v>
      </c>
      <c r="Q22" s="34"/>
      <c r="S22" s="34"/>
      <c r="T22" s="34"/>
      <c r="U22" s="34"/>
      <c r="V22" s="34"/>
      <c r="W22" s="34"/>
      <c r="X22" s="34"/>
      <c r="Y22" s="34"/>
    </row>
    <row r="23" ht="15.75" customHeight="1">
      <c r="A23" s="64" t="s">
        <v>35</v>
      </c>
      <c r="B23" s="64">
        <v>2019.0</v>
      </c>
      <c r="C23" s="65" t="s">
        <v>36</v>
      </c>
      <c r="D23" s="64">
        <v>5.0</v>
      </c>
      <c r="E23" s="34">
        <v>2.33992411960355E-4</v>
      </c>
      <c r="F23" s="34">
        <v>0.00116927805432132</v>
      </c>
      <c r="G23" s="66">
        <v>2.5</v>
      </c>
      <c r="H23" s="34">
        <v>98612.6956401759</v>
      </c>
      <c r="I23" s="34">
        <v>115.305660889528</v>
      </c>
      <c r="J23" s="34">
        <v>492775.214048656</v>
      </c>
      <c r="K23" s="34">
        <v>6157859.99159194</v>
      </c>
      <c r="L23" s="34">
        <v>62.444900746463</v>
      </c>
      <c r="Q23" s="34"/>
      <c r="S23" s="34"/>
      <c r="T23" s="34"/>
      <c r="U23" s="34"/>
      <c r="V23" s="34"/>
      <c r="W23" s="34"/>
      <c r="X23" s="34"/>
      <c r="Y23" s="34"/>
    </row>
    <row r="24" ht="15.75" customHeight="1">
      <c r="A24" s="64" t="s">
        <v>35</v>
      </c>
      <c r="B24" s="64">
        <v>2019.0</v>
      </c>
      <c r="C24" s="65" t="s">
        <v>36</v>
      </c>
      <c r="D24" s="64">
        <v>10.0</v>
      </c>
      <c r="E24" s="34">
        <v>1.64722936021612E-4</v>
      </c>
      <c r="F24" s="34">
        <v>8.23275649152849E-4</v>
      </c>
      <c r="G24" s="66">
        <v>2.5</v>
      </c>
      <c r="H24" s="34">
        <v>98497.3899792863</v>
      </c>
      <c r="I24" s="34">
        <v>81.0905026750552</v>
      </c>
      <c r="J24" s="34">
        <v>492284.223639744</v>
      </c>
      <c r="K24" s="34">
        <v>5665084.77754329</v>
      </c>
      <c r="L24" s="34">
        <v>57.5150750566552</v>
      </c>
      <c r="Q24" s="34"/>
      <c r="S24" s="34"/>
      <c r="T24" s="34"/>
      <c r="U24" s="34"/>
      <c r="V24" s="34"/>
      <c r="W24" s="34"/>
      <c r="X24" s="34"/>
      <c r="Y24" s="34"/>
    </row>
    <row r="25" ht="15.75" customHeight="1">
      <c r="A25" s="64" t="s">
        <v>35</v>
      </c>
      <c r="B25" s="64">
        <v>2019.0</v>
      </c>
      <c r="C25" s="65" t="s">
        <v>36</v>
      </c>
      <c r="D25" s="64">
        <v>15.0</v>
      </c>
      <c r="E25" s="34">
        <v>9.11369332421964E-4</v>
      </c>
      <c r="F25" s="34">
        <v>0.00454648783814503</v>
      </c>
      <c r="G25" s="66">
        <v>2.5</v>
      </c>
      <c r="H25" s="34">
        <v>98416.2994766113</v>
      </c>
      <c r="I25" s="34">
        <v>447.448508645655</v>
      </c>
      <c r="J25" s="34">
        <v>490962.876111442</v>
      </c>
      <c r="K25" s="34">
        <v>5172800.55390354</v>
      </c>
      <c r="L25" s="34">
        <v>52.5604049472808</v>
      </c>
      <c r="Q25" s="34"/>
      <c r="S25" s="34"/>
      <c r="T25" s="34"/>
      <c r="U25" s="34"/>
      <c r="V25" s="34"/>
      <c r="W25" s="34"/>
      <c r="X25" s="34"/>
      <c r="Y25" s="34"/>
    </row>
    <row r="26" ht="15.75" customHeight="1">
      <c r="A26" s="64" t="s">
        <v>35</v>
      </c>
      <c r="B26" s="64">
        <v>2019.0</v>
      </c>
      <c r="C26" s="65" t="s">
        <v>36</v>
      </c>
      <c r="D26" s="64">
        <v>20.0</v>
      </c>
      <c r="E26" s="34">
        <v>0.00168430757229225</v>
      </c>
      <c r="F26" s="34">
        <v>0.00838622540408365</v>
      </c>
      <c r="G26" s="66">
        <v>2.5</v>
      </c>
      <c r="H26" s="34">
        <v>97968.8509679656</v>
      </c>
      <c r="I26" s="34">
        <v>821.588866796446</v>
      </c>
      <c r="J26" s="34">
        <v>487790.282672837</v>
      </c>
      <c r="K26" s="34">
        <v>4681837.6777921</v>
      </c>
      <c r="L26" s="34">
        <v>47.7890434718173</v>
      </c>
      <c r="Q26" s="34"/>
      <c r="S26" s="34"/>
      <c r="T26" s="34"/>
      <c r="U26" s="34"/>
      <c r="V26" s="34"/>
      <c r="W26" s="34"/>
      <c r="X26" s="34"/>
      <c r="Y26" s="34"/>
    </row>
    <row r="27" ht="15.75" customHeight="1">
      <c r="A27" s="64" t="s">
        <v>35</v>
      </c>
      <c r="B27" s="64">
        <v>2019.0</v>
      </c>
      <c r="C27" s="65" t="s">
        <v>36</v>
      </c>
      <c r="D27" s="64">
        <v>25.0</v>
      </c>
      <c r="E27" s="34">
        <v>0.00285278443647602</v>
      </c>
      <c r="F27" s="34">
        <v>0.0141629128390739</v>
      </c>
      <c r="G27" s="66">
        <v>2.5</v>
      </c>
      <c r="H27" s="34">
        <v>97147.2621011692</v>
      </c>
      <c r="I27" s="34">
        <v>1375.88820569351</v>
      </c>
      <c r="J27" s="34">
        <v>482296.589991612</v>
      </c>
      <c r="K27" s="34">
        <v>4194047.39511926</v>
      </c>
      <c r="L27" s="34">
        <v>43.1720596587846</v>
      </c>
      <c r="Q27" s="34"/>
      <c r="S27" s="34"/>
      <c r="T27" s="34"/>
      <c r="U27" s="34"/>
      <c r="V27" s="34"/>
      <c r="W27" s="34"/>
      <c r="X27" s="34"/>
      <c r="Y27" s="34"/>
    </row>
    <row r="28" ht="15.75" customHeight="1">
      <c r="A28" s="64" t="s">
        <v>35</v>
      </c>
      <c r="B28" s="64">
        <v>2019.0</v>
      </c>
      <c r="C28" s="65" t="s">
        <v>36</v>
      </c>
      <c r="D28" s="64">
        <v>30.0</v>
      </c>
      <c r="E28" s="34">
        <v>0.00347414308158704</v>
      </c>
      <c r="F28" s="34">
        <v>0.0172211436155626</v>
      </c>
      <c r="G28" s="66">
        <v>2.5</v>
      </c>
      <c r="H28" s="34">
        <v>95771.3738954757</v>
      </c>
      <c r="I28" s="34">
        <v>1649.29258411375</v>
      </c>
      <c r="J28" s="34">
        <v>474733.638017094</v>
      </c>
      <c r="K28" s="34">
        <v>3711750.80512765</v>
      </c>
      <c r="L28" s="34">
        <v>38.7563700315987</v>
      </c>
      <c r="Q28" s="34"/>
      <c r="S28" s="34"/>
      <c r="T28" s="34"/>
      <c r="U28" s="34"/>
      <c r="V28" s="34"/>
      <c r="W28" s="34"/>
      <c r="X28" s="34"/>
      <c r="Y28" s="34"/>
    </row>
    <row r="29" ht="15.75" customHeight="1">
      <c r="A29" s="64" t="s">
        <v>35</v>
      </c>
      <c r="B29" s="64">
        <v>2019.0</v>
      </c>
      <c r="C29" s="65" t="s">
        <v>36</v>
      </c>
      <c r="D29" s="64">
        <v>35.0</v>
      </c>
      <c r="E29" s="34">
        <v>0.00454325315375568</v>
      </c>
      <c r="F29" s="34">
        <v>0.0224611490530972</v>
      </c>
      <c r="G29" s="66">
        <v>2.5</v>
      </c>
      <c r="H29" s="34">
        <v>94122.0813113619</v>
      </c>
      <c r="I29" s="34">
        <v>2114.09009752223</v>
      </c>
      <c r="J29" s="34">
        <v>465325.181313004</v>
      </c>
      <c r="K29" s="34">
        <v>3237017.16711056</v>
      </c>
      <c r="L29" s="34">
        <v>34.3916870729016</v>
      </c>
      <c r="Q29" s="34"/>
      <c r="S29" s="34"/>
      <c r="T29" s="34"/>
      <c r="U29" s="34"/>
      <c r="V29" s="34"/>
      <c r="W29" s="34"/>
      <c r="X29" s="34"/>
      <c r="Y29" s="34"/>
    </row>
    <row r="30" ht="15.75" customHeight="1">
      <c r="A30" s="64" t="s">
        <v>35</v>
      </c>
      <c r="B30" s="64">
        <v>2019.0</v>
      </c>
      <c r="C30" s="65" t="s">
        <v>36</v>
      </c>
      <c r="D30" s="64">
        <v>40.0</v>
      </c>
      <c r="E30" s="34">
        <v>0.00705888080227831</v>
      </c>
      <c r="F30" s="34">
        <v>0.0346823574435515</v>
      </c>
      <c r="G30" s="66">
        <v>2.5</v>
      </c>
      <c r="H30" s="34">
        <v>92007.9912138397</v>
      </c>
      <c r="I30" s="34">
        <v>3191.05403894153</v>
      </c>
      <c r="J30" s="34">
        <v>452062.320971845</v>
      </c>
      <c r="K30" s="34">
        <v>2771691.98579755</v>
      </c>
      <c r="L30" s="34">
        <v>30.1244701599424</v>
      </c>
      <c r="Q30" s="34"/>
      <c r="S30" s="34"/>
      <c r="T30" s="34"/>
      <c r="U30" s="34"/>
      <c r="V30" s="34"/>
      <c r="W30" s="34"/>
      <c r="X30" s="34"/>
      <c r="Y30" s="34"/>
    </row>
    <row r="31" ht="15.75" customHeight="1">
      <c r="A31" s="64" t="s">
        <v>35</v>
      </c>
      <c r="B31" s="64">
        <v>2019.0</v>
      </c>
      <c r="C31" s="65" t="s">
        <v>36</v>
      </c>
      <c r="D31" s="64">
        <v>45.0</v>
      </c>
      <c r="E31" s="34">
        <v>0.010838779956427</v>
      </c>
      <c r="F31" s="34">
        <v>0.0527641521940872</v>
      </c>
      <c r="G31" s="66">
        <v>2.5</v>
      </c>
      <c r="H31" s="34">
        <v>88816.9371748982</v>
      </c>
      <c r="I31" s="34">
        <v>4686.35039050903</v>
      </c>
      <c r="J31" s="34">
        <v>432368.809898218</v>
      </c>
      <c r="K31" s="34">
        <v>2319629.66482571</v>
      </c>
      <c r="L31" s="34">
        <v>26.1169742912649</v>
      </c>
      <c r="Q31" s="34"/>
      <c r="S31" s="34"/>
      <c r="T31" s="34"/>
      <c r="U31" s="34"/>
      <c r="V31" s="34"/>
      <c r="W31" s="34"/>
      <c r="X31" s="34"/>
      <c r="Y31" s="34"/>
    </row>
    <row r="32" ht="15.75" customHeight="1">
      <c r="A32" s="64" t="s">
        <v>35</v>
      </c>
      <c r="B32" s="64">
        <v>2019.0</v>
      </c>
      <c r="C32" s="65" t="s">
        <v>36</v>
      </c>
      <c r="D32" s="64">
        <v>50.0</v>
      </c>
      <c r="E32" s="34">
        <v>0.0156943662852498</v>
      </c>
      <c r="F32" s="34">
        <v>0.0755091603742366</v>
      </c>
      <c r="G32" s="66">
        <v>2.5</v>
      </c>
      <c r="H32" s="34">
        <v>84130.5867843891</v>
      </c>
      <c r="I32" s="34">
        <v>6352.62996988106</v>
      </c>
      <c r="J32" s="34">
        <v>404771.358997243</v>
      </c>
      <c r="K32" s="34">
        <v>1887260.85492749</v>
      </c>
      <c r="L32" s="34">
        <v>22.4325174358309</v>
      </c>
      <c r="Q32" s="34"/>
      <c r="S32" s="34"/>
      <c r="T32" s="34"/>
      <c r="U32" s="34"/>
      <c r="V32" s="34"/>
      <c r="W32" s="34"/>
      <c r="X32" s="34"/>
      <c r="Y32" s="34"/>
    </row>
    <row r="33" ht="15.75" customHeight="1">
      <c r="A33" s="64" t="s">
        <v>35</v>
      </c>
      <c r="B33" s="64">
        <v>2019.0</v>
      </c>
      <c r="C33" s="65" t="s">
        <v>36</v>
      </c>
      <c r="D33" s="64">
        <v>55.0</v>
      </c>
      <c r="E33" s="34">
        <v>0.0218391701115358</v>
      </c>
      <c r="F33" s="34">
        <v>0.103542637378892</v>
      </c>
      <c r="G33" s="66">
        <v>2.5</v>
      </c>
      <c r="H33" s="34">
        <v>77777.9568145081</v>
      </c>
      <c r="I33" s="34">
        <v>8053.33477851574</v>
      </c>
      <c r="J33" s="34">
        <v>368756.447126251</v>
      </c>
      <c r="K33" s="34">
        <v>1482489.49593025</v>
      </c>
      <c r="L33" s="34">
        <v>19.060535357927</v>
      </c>
      <c r="Q33" s="34"/>
      <c r="U33" s="34"/>
      <c r="V33" s="34"/>
      <c r="W33" s="34"/>
      <c r="X33" s="34"/>
      <c r="Y33" s="34"/>
    </row>
    <row r="34" ht="15.75" customHeight="1">
      <c r="A34" s="64" t="s">
        <v>35</v>
      </c>
      <c r="B34" s="64">
        <v>2019.0</v>
      </c>
      <c r="C34" s="65" t="s">
        <v>36</v>
      </c>
      <c r="D34" s="64">
        <v>60.0</v>
      </c>
      <c r="E34" s="34">
        <v>0.0349320241691843</v>
      </c>
      <c r="F34" s="34">
        <v>0.160632109056178</v>
      </c>
      <c r="G34" s="66">
        <v>2.5</v>
      </c>
      <c r="H34" s="34">
        <v>69724.6220359923</v>
      </c>
      <c r="I34" s="34">
        <v>11200.0130907863</v>
      </c>
      <c r="J34" s="34">
        <v>320623.077452996</v>
      </c>
      <c r="K34" s="34">
        <v>1113733.048804</v>
      </c>
      <c r="L34" s="34">
        <v>15.9733106653354</v>
      </c>
    </row>
    <row r="35" ht="15.75" customHeight="1">
      <c r="A35" s="64" t="s">
        <v>35</v>
      </c>
      <c r="B35" s="64">
        <v>2019.0</v>
      </c>
      <c r="C35" s="65" t="s">
        <v>36</v>
      </c>
      <c r="D35" s="64">
        <v>65.0</v>
      </c>
      <c r="E35" s="34">
        <v>0.041206675224647</v>
      </c>
      <c r="F35" s="34">
        <v>0.186790805935409</v>
      </c>
      <c r="G35" s="66">
        <v>2.5</v>
      </c>
      <c r="H35" s="34">
        <v>58524.608945206</v>
      </c>
      <c r="I35" s="34">
        <v>10931.8588719297</v>
      </c>
      <c r="J35" s="34">
        <v>265293.397546206</v>
      </c>
      <c r="K35" s="34">
        <v>793109.971351001</v>
      </c>
      <c r="L35" s="34">
        <v>13.5517346573568</v>
      </c>
    </row>
    <row r="36" ht="15.75" customHeight="1">
      <c r="A36" s="64" t="s">
        <v>35</v>
      </c>
      <c r="B36" s="64">
        <v>2019.0</v>
      </c>
      <c r="C36" s="65" t="s">
        <v>36</v>
      </c>
      <c r="D36" s="64">
        <v>70.0</v>
      </c>
      <c r="E36" s="34">
        <v>0.0570761913308804</v>
      </c>
      <c r="F36" s="34">
        <v>0.249744757716171</v>
      </c>
      <c r="G36" s="66">
        <v>2.5</v>
      </c>
      <c r="H36" s="34">
        <v>47592.7500732764</v>
      </c>
      <c r="I36" s="34">
        <v>11886.0398360967</v>
      </c>
      <c r="J36" s="34">
        <v>208248.65077614</v>
      </c>
      <c r="K36" s="34">
        <v>527816.573804795</v>
      </c>
      <c r="L36" s="34">
        <v>11.0902726358981</v>
      </c>
    </row>
    <row r="37" ht="15.75" customHeight="1">
      <c r="A37" s="64" t="s">
        <v>35</v>
      </c>
      <c r="B37" s="64">
        <v>2019.0</v>
      </c>
      <c r="C37" s="65" t="s">
        <v>36</v>
      </c>
      <c r="D37" s="64">
        <v>75.0</v>
      </c>
      <c r="E37" s="34">
        <v>0.0782212367578221</v>
      </c>
      <c r="F37" s="34">
        <v>0.327134099222091</v>
      </c>
      <c r="G37" s="66">
        <v>2.5</v>
      </c>
      <c r="H37" s="34">
        <v>35706.7102371797</v>
      </c>
      <c r="I37" s="34">
        <v>11680.882489624</v>
      </c>
      <c r="J37" s="34">
        <v>149331.344961839</v>
      </c>
      <c r="K37" s="34">
        <v>319567.923028655</v>
      </c>
      <c r="L37" s="34">
        <v>8.94980021698847</v>
      </c>
    </row>
    <row r="38" ht="15.75" customHeight="1">
      <c r="A38" s="64" t="s">
        <v>35</v>
      </c>
      <c r="B38" s="64">
        <v>2019.0</v>
      </c>
      <c r="C38" s="65" t="s">
        <v>36</v>
      </c>
      <c r="D38" s="64">
        <v>80.0</v>
      </c>
      <c r="E38" s="34">
        <v>0.109844165716458</v>
      </c>
      <c r="F38" s="34">
        <v>0.430893096764574</v>
      </c>
      <c r="G38" s="66">
        <v>2.5</v>
      </c>
      <c r="H38" s="34">
        <v>24025.8277475557</v>
      </c>
      <c r="I38" s="34">
        <v>10352.5633204765</v>
      </c>
      <c r="J38" s="34">
        <v>94247.7304365873</v>
      </c>
      <c r="K38" s="34">
        <v>170236.578066817</v>
      </c>
      <c r="L38" s="34">
        <v>7.0855655778243</v>
      </c>
    </row>
    <row r="39" ht="15.75" customHeight="1">
      <c r="A39" s="64" t="s">
        <v>35</v>
      </c>
      <c r="B39" s="64">
        <v>2019.0</v>
      </c>
      <c r="C39" s="65" t="s">
        <v>36</v>
      </c>
      <c r="D39" s="64">
        <v>85.0</v>
      </c>
      <c r="E39" s="64">
        <f>1/L39</f>
        <v>0.1799377784</v>
      </c>
      <c r="F39" s="64">
        <v>1.0</v>
      </c>
      <c r="G39" s="64" t="s">
        <v>37</v>
      </c>
      <c r="H39" s="34">
        <v>13673.2644270792</v>
      </c>
      <c r="I39" s="34">
        <v>13673.2644270792</v>
      </c>
      <c r="J39" s="34">
        <v>75988.8476302294</v>
      </c>
      <c r="K39" s="34">
        <v>75988.8476302294</v>
      </c>
      <c r="L39" s="34">
        <v>5.55747663884401</v>
      </c>
    </row>
    <row r="40" ht="15.75" customHeight="1">
      <c r="H40" s="62"/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>
      <c r="H59" s="62"/>
    </row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>
      <c r="A78" s="67" t="s">
        <v>35</v>
      </c>
      <c r="B78" s="67">
        <v>2019.0</v>
      </c>
      <c r="C78" s="68" t="s">
        <v>38</v>
      </c>
      <c r="D78" s="67">
        <v>0.0</v>
      </c>
      <c r="E78" s="66">
        <v>0.0101809954751131</v>
      </c>
      <c r="F78" s="66">
        <v>0.0100866732261653</v>
      </c>
      <c r="G78" s="66">
        <v>0.0815067873303167</v>
      </c>
      <c r="H78" s="63">
        <v>100000.0</v>
      </c>
      <c r="I78" s="66">
        <v>1008.66732261653</v>
      </c>
      <c r="J78" s="66">
        <v>99073.545910335</v>
      </c>
      <c r="K78" s="66">
        <v>7443485.33414269</v>
      </c>
      <c r="L78" s="66">
        <v>74.4348533414269</v>
      </c>
    </row>
    <row r="79" ht="15.75" customHeight="1">
      <c r="A79" s="67" t="s">
        <v>35</v>
      </c>
      <c r="B79" s="67">
        <v>2019.0</v>
      </c>
      <c r="C79" s="68" t="s">
        <v>38</v>
      </c>
      <c r="D79" s="67">
        <v>1.0</v>
      </c>
      <c r="E79" s="66">
        <v>3.91795344549435E-4</v>
      </c>
      <c r="F79" s="66">
        <v>0.00156567079746207</v>
      </c>
      <c r="G79" s="66">
        <v>1.53745475113122</v>
      </c>
      <c r="H79" s="66">
        <v>98991.3326773835</v>
      </c>
      <c r="I79" s="66">
        <v>154.987838774832</v>
      </c>
      <c r="J79" s="66">
        <v>395583.666143526</v>
      </c>
      <c r="K79" s="66">
        <v>7344411.78823236</v>
      </c>
      <c r="L79" s="66">
        <v>74.1924731144703</v>
      </c>
      <c r="T79" s="63"/>
    </row>
    <row r="80" ht="15.75" customHeight="1">
      <c r="A80" s="67" t="s">
        <v>35</v>
      </c>
      <c r="B80" s="67">
        <v>2019.0</v>
      </c>
      <c r="C80" s="68" t="s">
        <v>38</v>
      </c>
      <c r="D80" s="67">
        <v>5.0</v>
      </c>
      <c r="E80" s="66">
        <v>1.03126450215706E-4</v>
      </c>
      <c r="F80" s="66">
        <v>5.1549934703416E-4</v>
      </c>
      <c r="G80" s="66">
        <v>2.5</v>
      </c>
      <c r="H80" s="66">
        <v>98836.3448386086</v>
      </c>
      <c r="I80" s="66">
        <v>50.9500712275476</v>
      </c>
      <c r="J80" s="66">
        <v>494054.349014974</v>
      </c>
      <c r="K80" s="66">
        <v>6948828.12208883</v>
      </c>
      <c r="L80" s="66">
        <v>70.306405335362</v>
      </c>
    </row>
    <row r="81" ht="15.75" customHeight="1">
      <c r="A81" s="67" t="s">
        <v>35</v>
      </c>
      <c r="B81" s="67">
        <v>2019.0</v>
      </c>
      <c r="C81" s="68" t="s">
        <v>38</v>
      </c>
      <c r="D81" s="67">
        <v>10.0</v>
      </c>
      <c r="E81" s="66">
        <v>2.54427030327702E-4</v>
      </c>
      <c r="F81" s="66">
        <v>0.00127132650207226</v>
      </c>
      <c r="G81" s="66">
        <v>2.5</v>
      </c>
      <c r="H81" s="66">
        <v>98785.3947673811</v>
      </c>
      <c r="I81" s="66">
        <v>125.588490385446</v>
      </c>
      <c r="J81" s="66">
        <v>493613.002610942</v>
      </c>
      <c r="K81" s="66">
        <v>6454773.77307386</v>
      </c>
      <c r="L81" s="66">
        <v>65.341377521176</v>
      </c>
    </row>
    <row r="82" ht="15.75" customHeight="1">
      <c r="A82" s="67" t="s">
        <v>35</v>
      </c>
      <c r="B82" s="67">
        <v>2019.0</v>
      </c>
      <c r="C82" s="68" t="s">
        <v>38</v>
      </c>
      <c r="D82" s="67">
        <v>15.0</v>
      </c>
      <c r="E82" s="66">
        <v>5.53152971940058E-4</v>
      </c>
      <c r="F82" s="66">
        <v>0.00276194541391518</v>
      </c>
      <c r="G82" s="66">
        <v>2.5</v>
      </c>
      <c r="H82" s="66">
        <v>98659.8062769956</v>
      </c>
      <c r="I82" s="66">
        <v>272.492999484515</v>
      </c>
      <c r="J82" s="66">
        <v>492617.798886267</v>
      </c>
      <c r="K82" s="66">
        <v>5961160.77046291</v>
      </c>
      <c r="L82" s="66">
        <v>60.4213711278376</v>
      </c>
    </row>
    <row r="83" ht="15.75" customHeight="1">
      <c r="A83" s="67" t="s">
        <v>35</v>
      </c>
      <c r="B83" s="67">
        <v>2019.0</v>
      </c>
      <c r="C83" s="68" t="s">
        <v>38</v>
      </c>
      <c r="D83" s="67">
        <v>20.0</v>
      </c>
      <c r="E83" s="66">
        <v>7.88726469660322E-4</v>
      </c>
      <c r="F83" s="66">
        <v>0.00393587153315316</v>
      </c>
      <c r="G83" s="66">
        <v>2.5</v>
      </c>
      <c r="H83" s="66">
        <v>98387.3132775111</v>
      </c>
      <c r="I83" s="66">
        <v>387.239825552373</v>
      </c>
      <c r="J83" s="66">
        <v>490968.466823675</v>
      </c>
      <c r="K83" s="66">
        <v>5468542.97157665</v>
      </c>
      <c r="L83" s="66">
        <v>55.5817898609761</v>
      </c>
    </row>
    <row r="84" ht="15.75" customHeight="1">
      <c r="A84" s="67" t="s">
        <v>35</v>
      </c>
      <c r="B84" s="67">
        <v>2019.0</v>
      </c>
      <c r="C84" s="68" t="s">
        <v>38</v>
      </c>
      <c r="D84" s="67">
        <v>25.0</v>
      </c>
      <c r="E84" s="66">
        <v>0.0011733154542407</v>
      </c>
      <c r="F84" s="66">
        <v>0.00584941923623297</v>
      </c>
      <c r="G84" s="66">
        <v>2.5</v>
      </c>
      <c r="H84" s="66">
        <v>98000.0734519588</v>
      </c>
      <c r="I84" s="66">
        <v>573.243514802118</v>
      </c>
      <c r="J84" s="66">
        <v>488567.258472788</v>
      </c>
      <c r="K84" s="66">
        <v>4977574.50475297</v>
      </c>
      <c r="L84" s="66">
        <v>50.7915385103569</v>
      </c>
    </row>
    <row r="85" ht="15.75" customHeight="1">
      <c r="A85" s="67" t="s">
        <v>35</v>
      </c>
      <c r="B85" s="67">
        <v>2019.0</v>
      </c>
      <c r="C85" s="68" t="s">
        <v>38</v>
      </c>
      <c r="D85" s="67">
        <v>30.0</v>
      </c>
      <c r="E85" s="66">
        <v>0.00125450838952485</v>
      </c>
      <c r="F85" s="66">
        <v>0.00625293106143505</v>
      </c>
      <c r="G85" s="66">
        <v>2.5</v>
      </c>
      <c r="H85" s="66">
        <v>97426.8299371566</v>
      </c>
      <c r="I85" s="66">
        <v>609.203251131199</v>
      </c>
      <c r="J85" s="66">
        <v>485611.141557955</v>
      </c>
      <c r="K85" s="66">
        <v>4489007.24628018</v>
      </c>
      <c r="L85" s="66">
        <v>46.0756780157554</v>
      </c>
    </row>
    <row r="86" ht="15.75" customHeight="1">
      <c r="A86" s="67" t="s">
        <v>35</v>
      </c>
      <c r="B86" s="67">
        <v>2019.0</v>
      </c>
      <c r="C86" s="68" t="s">
        <v>38</v>
      </c>
      <c r="D86" s="67">
        <v>35.0</v>
      </c>
      <c r="E86" s="66">
        <v>0.00160819000176509</v>
      </c>
      <c r="F86" s="66">
        <v>0.0080087510255108</v>
      </c>
      <c r="G86" s="66">
        <v>2.5</v>
      </c>
      <c r="H86" s="66">
        <v>96817.6266860254</v>
      </c>
      <c r="I86" s="66">
        <v>775.388267009243</v>
      </c>
      <c r="J86" s="66">
        <v>482149.662762604</v>
      </c>
      <c r="K86" s="66">
        <v>4003396.10472223</v>
      </c>
      <c r="L86" s="66">
        <v>41.3498682187804</v>
      </c>
    </row>
    <row r="87" ht="15.75" customHeight="1">
      <c r="A87" s="67" t="s">
        <v>35</v>
      </c>
      <c r="B87" s="67">
        <v>2019.0</v>
      </c>
      <c r="C87" s="68" t="s">
        <v>38</v>
      </c>
      <c r="D87" s="67">
        <v>40.0</v>
      </c>
      <c r="E87" s="66">
        <v>0.00299957752429235</v>
      </c>
      <c r="F87" s="66">
        <v>0.0148862564210085</v>
      </c>
      <c r="G87" s="66">
        <v>2.5</v>
      </c>
      <c r="H87" s="66">
        <v>96042.2384190162</v>
      </c>
      <c r="I87" s="66">
        <v>1429.70938835311</v>
      </c>
      <c r="J87" s="66">
        <v>476636.918624198</v>
      </c>
      <c r="K87" s="66">
        <v>3521246.44195962</v>
      </c>
      <c r="L87" s="66">
        <v>36.6635190924749</v>
      </c>
    </row>
    <row r="88" ht="15.75" customHeight="1">
      <c r="A88" s="67" t="s">
        <v>35</v>
      </c>
      <c r="B88" s="67">
        <v>2019.0</v>
      </c>
      <c r="C88" s="68" t="s">
        <v>38</v>
      </c>
      <c r="D88" s="67">
        <v>45.0</v>
      </c>
      <c r="E88" s="66">
        <v>0.00473732588559712</v>
      </c>
      <c r="F88" s="66">
        <v>0.0234093847175151</v>
      </c>
      <c r="G88" s="66">
        <v>2.5</v>
      </c>
      <c r="H88" s="66">
        <v>94612.5290306631</v>
      </c>
      <c r="I88" s="66">
        <v>2214.82109117585</v>
      </c>
      <c r="J88" s="66">
        <v>467525.592425376</v>
      </c>
      <c r="K88" s="66">
        <v>3044609.52333543</v>
      </c>
      <c r="L88" s="66">
        <v>32.179771057052</v>
      </c>
    </row>
    <row r="89" ht="15.75" customHeight="1">
      <c r="A89" s="67" t="s">
        <v>35</v>
      </c>
      <c r="B89" s="67">
        <v>2019.0</v>
      </c>
      <c r="C89" s="68" t="s">
        <v>38</v>
      </c>
      <c r="D89" s="67">
        <v>50.0</v>
      </c>
      <c r="E89" s="66">
        <v>0.00716721730789726</v>
      </c>
      <c r="F89" s="66">
        <v>0.0352052768652907</v>
      </c>
      <c r="G89" s="66">
        <v>2.5</v>
      </c>
      <c r="H89" s="66">
        <v>92397.7079394872</v>
      </c>
      <c r="I89" s="66">
        <v>3252.88688972793</v>
      </c>
      <c r="J89" s="66">
        <v>453856.322473116</v>
      </c>
      <c r="K89" s="66">
        <v>2577083.93091005</v>
      </c>
      <c r="L89" s="66">
        <v>27.8912105979709</v>
      </c>
    </row>
    <row r="90" ht="15.75" customHeight="1">
      <c r="A90" s="67" t="s">
        <v>35</v>
      </c>
      <c r="B90" s="67">
        <v>2019.0</v>
      </c>
      <c r="C90" s="68" t="s">
        <v>38</v>
      </c>
      <c r="D90" s="67">
        <v>55.0</v>
      </c>
      <c r="E90" s="66">
        <v>0.0119569278847787</v>
      </c>
      <c r="F90" s="66">
        <v>0.058049407962004</v>
      </c>
      <c r="G90" s="66">
        <v>2.5</v>
      </c>
      <c r="H90" s="66">
        <v>89144.8210497593</v>
      </c>
      <c r="I90" s="66">
        <v>5174.8040848173</v>
      </c>
      <c r="J90" s="66">
        <v>432787.095036753</v>
      </c>
      <c r="K90" s="66">
        <v>2123227.60843693</v>
      </c>
      <c r="L90" s="66">
        <v>23.8177336993226</v>
      </c>
    </row>
    <row r="91" ht="15.75" customHeight="1">
      <c r="A91" s="67" t="s">
        <v>35</v>
      </c>
      <c r="B91" s="67">
        <v>2019.0</v>
      </c>
      <c r="C91" s="68" t="s">
        <v>38</v>
      </c>
      <c r="D91" s="67">
        <v>60.0</v>
      </c>
      <c r="E91" s="66">
        <v>0.0159517315480618</v>
      </c>
      <c r="F91" s="66">
        <v>0.0766999165441322</v>
      </c>
      <c r="G91" s="66">
        <v>2.5</v>
      </c>
      <c r="H91" s="66">
        <v>83970.016964942</v>
      </c>
      <c r="I91" s="66">
        <v>6440.49329342043</v>
      </c>
      <c r="J91" s="66">
        <v>403748.851591159</v>
      </c>
      <c r="K91" s="66">
        <v>1690440.51340018</v>
      </c>
      <c r="L91" s="66">
        <v>20.1314775737862</v>
      </c>
    </row>
    <row r="92" ht="15.75" customHeight="1">
      <c r="A92" s="67" t="s">
        <v>35</v>
      </c>
      <c r="B92" s="67">
        <v>2019.0</v>
      </c>
      <c r="C92" s="68" t="s">
        <v>38</v>
      </c>
      <c r="D92" s="67">
        <v>65.0</v>
      </c>
      <c r="E92" s="66">
        <v>0.0257252946509519</v>
      </c>
      <c r="F92" s="66">
        <v>0.120853963690571</v>
      </c>
      <c r="G92" s="66">
        <v>2.5</v>
      </c>
      <c r="H92" s="66">
        <v>77529.5236715216</v>
      </c>
      <c r="I92" s="66">
        <v>9369.75023874536</v>
      </c>
      <c r="J92" s="66">
        <v>364223.242760745</v>
      </c>
      <c r="K92" s="66">
        <v>1286691.66180902</v>
      </c>
      <c r="L92" s="66">
        <v>16.5961507420128</v>
      </c>
    </row>
    <row r="93" ht="15.75" customHeight="1">
      <c r="A93" s="67" t="s">
        <v>35</v>
      </c>
      <c r="B93" s="67">
        <v>2019.0</v>
      </c>
      <c r="C93" s="68" t="s">
        <v>38</v>
      </c>
      <c r="D93" s="67">
        <v>70.0</v>
      </c>
      <c r="E93" s="66">
        <v>0.0354631847330603</v>
      </c>
      <c r="F93" s="66">
        <v>0.162875696391186</v>
      </c>
      <c r="G93" s="66">
        <v>2.5</v>
      </c>
      <c r="H93" s="66">
        <v>68159.7734327762</v>
      </c>
      <c r="I93" s="66">
        <v>11101.5705637289</v>
      </c>
      <c r="J93" s="66">
        <v>313044.940754559</v>
      </c>
      <c r="K93" s="66">
        <v>922468.419048277</v>
      </c>
      <c r="L93" s="66">
        <v>13.5339126377537</v>
      </c>
    </row>
    <row r="94" ht="15.75" customHeight="1">
      <c r="A94" s="67" t="s">
        <v>35</v>
      </c>
      <c r="B94" s="67">
        <v>2019.0</v>
      </c>
      <c r="C94" s="68" t="s">
        <v>38</v>
      </c>
      <c r="D94" s="67">
        <v>75.0</v>
      </c>
      <c r="E94" s="66">
        <v>0.0534444444444444</v>
      </c>
      <c r="F94" s="66">
        <v>0.23572653761333</v>
      </c>
      <c r="G94" s="66">
        <v>2.5</v>
      </c>
      <c r="H94" s="66">
        <v>57058.2028690474</v>
      </c>
      <c r="I94" s="66">
        <v>13450.1326047595</v>
      </c>
      <c r="J94" s="66">
        <v>251665.682833338</v>
      </c>
      <c r="K94" s="66">
        <v>609423.478293718</v>
      </c>
      <c r="L94" s="66">
        <v>10.6807338410638</v>
      </c>
    </row>
    <row r="95" ht="15.75" customHeight="1">
      <c r="A95" s="67" t="s">
        <v>35</v>
      </c>
      <c r="B95" s="67">
        <v>2019.0</v>
      </c>
      <c r="C95" s="68" t="s">
        <v>38</v>
      </c>
      <c r="D95" s="67">
        <v>80.0</v>
      </c>
      <c r="E95" s="66">
        <v>0.0885501135257866</v>
      </c>
      <c r="F95" s="66">
        <v>0.362501659806135</v>
      </c>
      <c r="G95" s="66">
        <v>2.5</v>
      </c>
      <c r="H95" s="66">
        <v>43608.0702642879</v>
      </c>
      <c r="I95" s="66">
        <v>15807.9978517469</v>
      </c>
      <c r="J95" s="66">
        <v>178520.356692072</v>
      </c>
      <c r="K95" s="66">
        <v>357757.79546038</v>
      </c>
      <c r="L95" s="66">
        <v>8.20393549387027</v>
      </c>
    </row>
    <row r="96" ht="15.75" customHeight="1">
      <c r="A96" s="67" t="s">
        <v>35</v>
      </c>
      <c r="B96" s="67">
        <v>2019.0</v>
      </c>
      <c r="C96" s="68" t="s">
        <v>38</v>
      </c>
      <c r="D96" s="67">
        <v>85.0</v>
      </c>
      <c r="E96" s="67">
        <f>1/L96</f>
        <v>0.1551019285</v>
      </c>
      <c r="F96" s="67">
        <v>1.0</v>
      </c>
      <c r="G96" s="67" t="s">
        <v>37</v>
      </c>
      <c r="H96" s="66">
        <v>27800.072412541</v>
      </c>
      <c r="I96" s="66">
        <v>27800.072412541</v>
      </c>
      <c r="J96" s="66">
        <v>179237.438768308</v>
      </c>
      <c r="K96" s="66">
        <v>179237.438768308</v>
      </c>
      <c r="L96" s="66">
        <v>6.44737308984316</v>
      </c>
    </row>
    <row r="97" ht="15.75" customHeight="1">
      <c r="H97" s="62"/>
    </row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6" width="10.71"/>
  </cols>
  <sheetData>
    <row r="1">
      <c r="A1" s="69" t="s">
        <v>24</v>
      </c>
      <c r="B1" s="69" t="s">
        <v>25</v>
      </c>
      <c r="C1" s="69" t="s">
        <v>26</v>
      </c>
      <c r="D1" s="69" t="s">
        <v>39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>
      <c r="A553" s="64">
        <v>2019.0</v>
      </c>
      <c r="B553" s="65" t="s">
        <v>36</v>
      </c>
      <c r="C553" s="64">
        <v>0.0</v>
      </c>
      <c r="D553" s="70">
        <v>1.0</v>
      </c>
      <c r="E553" s="71"/>
    </row>
    <row r="554" ht="15.75" customHeight="1">
      <c r="A554" s="64">
        <v>2019.0</v>
      </c>
      <c r="B554" s="65" t="s">
        <v>36</v>
      </c>
      <c r="C554" s="64">
        <v>1.0</v>
      </c>
      <c r="D554" s="70">
        <v>0.0</v>
      </c>
    </row>
    <row r="555" ht="15.75" customHeight="1">
      <c r="A555" s="64">
        <v>2019.0</v>
      </c>
      <c r="B555" s="65" t="s">
        <v>36</v>
      </c>
      <c r="C555" s="64">
        <v>5.0</v>
      </c>
      <c r="D555" s="70">
        <v>3.0</v>
      </c>
    </row>
    <row r="556" ht="15.75" customHeight="1">
      <c r="A556" s="64">
        <v>2019.0</v>
      </c>
      <c r="B556" s="65" t="s">
        <v>36</v>
      </c>
      <c r="C556" s="64">
        <v>10.0</v>
      </c>
      <c r="D556" s="70">
        <v>0.0</v>
      </c>
    </row>
    <row r="557" ht="15.75" customHeight="1">
      <c r="A557" s="64">
        <v>2019.0</v>
      </c>
      <c r="B557" s="65" t="s">
        <v>36</v>
      </c>
      <c r="C557" s="64">
        <v>15.0</v>
      </c>
      <c r="D557" s="70">
        <v>9.0</v>
      </c>
    </row>
    <row r="558" ht="15.75" customHeight="1">
      <c r="A558" s="64">
        <v>2019.0</v>
      </c>
      <c r="B558" s="65" t="s">
        <v>36</v>
      </c>
      <c r="C558" s="64">
        <v>20.0</v>
      </c>
      <c r="D558" s="70">
        <v>25.0</v>
      </c>
    </row>
    <row r="559" ht="15.75" customHeight="1">
      <c r="A559" s="64">
        <v>2019.0</v>
      </c>
      <c r="B559" s="65" t="s">
        <v>36</v>
      </c>
      <c r="C559" s="64">
        <v>25.0</v>
      </c>
      <c r="D559" s="70">
        <v>30.0</v>
      </c>
    </row>
    <row r="560" ht="15.75" customHeight="1">
      <c r="A560" s="64">
        <v>2019.0</v>
      </c>
      <c r="B560" s="65" t="s">
        <v>36</v>
      </c>
      <c r="C560" s="64">
        <v>30.0</v>
      </c>
      <c r="D560" s="70">
        <v>20.0</v>
      </c>
    </row>
    <row r="561" ht="15.75" customHeight="1">
      <c r="A561" s="64">
        <v>2019.0</v>
      </c>
      <c r="B561" s="65" t="s">
        <v>36</v>
      </c>
      <c r="C561" s="64">
        <v>35.0</v>
      </c>
      <c r="D561" s="70">
        <v>26.0</v>
      </c>
    </row>
    <row r="562" ht="15.75" customHeight="1">
      <c r="A562" s="64">
        <v>2019.0</v>
      </c>
      <c r="B562" s="65" t="s">
        <v>36</v>
      </c>
      <c r="C562" s="64">
        <v>40.0</v>
      </c>
      <c r="D562" s="70">
        <v>14.0</v>
      </c>
    </row>
    <row r="563" ht="15.75" customHeight="1">
      <c r="A563" s="64">
        <v>2019.0</v>
      </c>
      <c r="B563" s="65" t="s">
        <v>36</v>
      </c>
      <c r="C563" s="64">
        <v>45.0</v>
      </c>
      <c r="D563" s="70">
        <v>11.0</v>
      </c>
    </row>
    <row r="564" ht="15.75" customHeight="1">
      <c r="A564" s="64">
        <v>2019.0</v>
      </c>
      <c r="B564" s="65" t="s">
        <v>36</v>
      </c>
      <c r="C564" s="64">
        <v>50.0</v>
      </c>
      <c r="D564" s="70">
        <v>7.0</v>
      </c>
    </row>
    <row r="565" ht="15.75" customHeight="1">
      <c r="A565" s="64">
        <v>2019.0</v>
      </c>
      <c r="B565" s="65" t="s">
        <v>36</v>
      </c>
      <c r="C565" s="64">
        <v>55.0</v>
      </c>
      <c r="D565" s="70">
        <v>8.0</v>
      </c>
    </row>
    <row r="566" ht="15.75" customHeight="1">
      <c r="A566" s="64">
        <v>2019.0</v>
      </c>
      <c r="B566" s="65" t="s">
        <v>36</v>
      </c>
      <c r="C566" s="64">
        <v>60.0</v>
      </c>
      <c r="D566" s="70">
        <v>1.0</v>
      </c>
    </row>
    <row r="567" ht="15.75" customHeight="1">
      <c r="A567" s="64">
        <v>2019.0</v>
      </c>
      <c r="B567" s="65" t="s">
        <v>36</v>
      </c>
      <c r="C567" s="64">
        <v>65.0</v>
      </c>
      <c r="D567" s="70">
        <v>3.0</v>
      </c>
    </row>
    <row r="568" ht="15.75" customHeight="1">
      <c r="A568" s="64">
        <v>2019.0</v>
      </c>
      <c r="B568" s="65" t="s">
        <v>36</v>
      </c>
      <c r="C568" s="64">
        <v>70.0</v>
      </c>
      <c r="D568" s="70">
        <v>1.0</v>
      </c>
    </row>
    <row r="569" ht="15.75" customHeight="1">
      <c r="A569" s="64">
        <v>2019.0</v>
      </c>
      <c r="B569" s="65" t="s">
        <v>36</v>
      </c>
      <c r="C569" s="64">
        <v>75.0</v>
      </c>
      <c r="D569" s="70">
        <v>0.0</v>
      </c>
    </row>
    <row r="570" ht="15.75" customHeight="1">
      <c r="A570" s="64">
        <v>2019.0</v>
      </c>
      <c r="B570" s="65" t="s">
        <v>36</v>
      </c>
      <c r="C570" s="64">
        <v>80.0</v>
      </c>
      <c r="D570" s="70">
        <v>0.0</v>
      </c>
    </row>
    <row r="571" ht="15.75" customHeight="1">
      <c r="A571" s="64">
        <v>2019.0</v>
      </c>
      <c r="B571" s="65" t="s">
        <v>36</v>
      </c>
      <c r="C571" s="64">
        <v>85.0</v>
      </c>
      <c r="D571" s="70">
        <v>0.0</v>
      </c>
      <c r="E571" s="71"/>
    </row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  <row r="1064" ht="15.75" customHeight="1"/>
    <row r="1065" ht="15.75" customHeight="1"/>
    <row r="1066" ht="15.75" customHeight="1"/>
    <row r="1067" ht="15.75" customHeight="1"/>
    <row r="1068" ht="15.75" customHeight="1"/>
    <row r="1069" ht="15.75" customHeight="1"/>
    <row r="1070" ht="15.75" customHeight="1"/>
    <row r="1071" ht="15.75" customHeight="1"/>
    <row r="1072" ht="15.75" customHeight="1"/>
    <row r="1073" ht="15.75" customHeight="1"/>
    <row r="1074" ht="15.75" customHeight="1"/>
    <row r="1075" ht="15.75" customHeight="1"/>
    <row r="1076" ht="15.75" customHeight="1"/>
    <row r="1077" ht="15.75" customHeight="1"/>
    <row r="1078" ht="15.75" customHeight="1"/>
    <row r="1079" ht="15.75" customHeight="1"/>
    <row r="1080" ht="15.75" customHeight="1"/>
    <row r="1081" ht="15.75" customHeight="1"/>
    <row r="1082" ht="15.75" customHeight="1"/>
    <row r="1083" ht="15.75" customHeight="1"/>
    <row r="1084" ht="15.75" customHeight="1"/>
    <row r="1085" ht="15.75" customHeight="1"/>
    <row r="1086" ht="15.75" customHeight="1"/>
    <row r="1087" ht="15.75" customHeight="1"/>
    <row r="1088" ht="15.75" customHeight="1"/>
    <row r="1089" ht="15.75" customHeight="1"/>
    <row r="1090" ht="15.75" customHeight="1"/>
    <row r="1091" ht="15.75" customHeight="1"/>
    <row r="1092" ht="15.75" customHeight="1"/>
    <row r="1093" ht="15.75" customHeight="1"/>
    <row r="1094" ht="15.75" customHeight="1"/>
    <row r="1095" ht="15.75" customHeight="1"/>
    <row r="1096" ht="15.75" customHeight="1"/>
    <row r="1097" ht="15.75" customHeight="1"/>
    <row r="1098" ht="15.75" customHeight="1"/>
    <row r="1099" ht="15.75" customHeight="1"/>
    <row r="1100" ht="15.75" customHeight="1"/>
    <row r="1101" ht="15.75" customHeight="1"/>
    <row r="1102" ht="15.75" customHeight="1"/>
    <row r="1103" ht="15.75" customHeight="1"/>
    <row r="1104" ht="15.75" customHeight="1"/>
    <row r="1105" ht="15.75" customHeight="1"/>
    <row r="1106" ht="15.75" customHeight="1"/>
    <row r="1107" ht="15.75" customHeight="1"/>
    <row r="1108" ht="15.75" customHeight="1"/>
    <row r="1109" ht="15.75" customHeight="1"/>
    <row r="1110" ht="15.75" customHeight="1"/>
    <row r="1111" ht="15.75" customHeight="1"/>
    <row r="1112" ht="15.75" customHeight="1"/>
    <row r="1113" ht="15.75" customHeight="1"/>
    <row r="1114" ht="15.75" customHeight="1"/>
    <row r="1115" ht="15.75" customHeight="1"/>
    <row r="1116" ht="15.75" customHeight="1"/>
    <row r="1117" ht="15.75" customHeight="1"/>
    <row r="1118" ht="15.75" customHeight="1"/>
    <row r="1119" ht="15.75" customHeight="1"/>
    <row r="1120" ht="15.75" customHeight="1"/>
    <row r="1121" ht="15.75" customHeight="1"/>
    <row r="1122" ht="15.75" customHeight="1"/>
    <row r="1123" ht="15.75" customHeight="1"/>
    <row r="1124" ht="15.75" customHeight="1"/>
    <row r="1125" ht="15.75" customHeight="1"/>
    <row r="1126" ht="15.75" customHeight="1"/>
    <row r="1127" ht="15.75" customHeight="1"/>
    <row r="1128" ht="15.75" customHeight="1"/>
    <row r="1129" ht="15.75" customHeight="1"/>
    <row r="1130" ht="15.75" customHeight="1"/>
    <row r="1131" ht="15.75" customHeight="1"/>
    <row r="1132" ht="15.75" customHeight="1"/>
    <row r="1133" ht="15.75" customHeight="1"/>
    <row r="1134" ht="15.75" customHeight="1"/>
    <row r="1135" ht="15.75" customHeight="1"/>
    <row r="1136" ht="15.75" customHeight="1"/>
    <row r="1137" ht="15.75" customHeight="1"/>
    <row r="1138" ht="15.75" customHeight="1"/>
    <row r="1139" ht="15.75" customHeight="1"/>
    <row r="1140" ht="15.75" customHeight="1"/>
    <row r="1141" ht="15.75" customHeight="1"/>
    <row r="1142" ht="15.75" customHeight="1"/>
    <row r="1143" ht="15.75" customHeight="1"/>
    <row r="1144" ht="15.75" customHeight="1"/>
    <row r="1145" ht="15.75" customHeight="1"/>
    <row r="1146" ht="15.75" customHeight="1"/>
    <row r="1147" ht="15.75" customHeight="1"/>
    <row r="1148" ht="15.75" customHeight="1"/>
    <row r="1149" ht="15.75" customHeight="1"/>
    <row r="1150" ht="15.75" customHeight="1"/>
    <row r="1151" ht="15.75" customHeight="1"/>
    <row r="1152" ht="15.75" customHeight="1"/>
    <row r="1153" ht="15.75" customHeight="1"/>
    <row r="1154" ht="15.75" customHeight="1"/>
    <row r="1155" ht="15.75" customHeight="1"/>
    <row r="1156" ht="15.75" customHeight="1"/>
    <row r="1157" ht="15.75" customHeight="1"/>
    <row r="1158" ht="15.75" customHeight="1"/>
    <row r="1159" ht="15.75" customHeight="1"/>
    <row r="1160" ht="15.75" customHeight="1"/>
    <row r="1161" ht="15.75" customHeight="1"/>
    <row r="1162" ht="15.75" customHeight="1"/>
    <row r="1163" ht="15.75" customHeight="1"/>
    <row r="1164" ht="15.75" customHeight="1"/>
    <row r="1165" ht="15.75" customHeight="1"/>
    <row r="1166" ht="15.75" customHeight="1"/>
    <row r="1167" ht="15.75" customHeight="1"/>
    <row r="1168" ht="15.75" customHeight="1"/>
    <row r="1169" ht="15.75" customHeight="1"/>
    <row r="1170" ht="15.75" customHeight="1"/>
    <row r="1171" ht="15.75" customHeight="1"/>
    <row r="1172" ht="15.75" customHeight="1"/>
    <row r="1173" ht="15.75" customHeight="1"/>
    <row r="1174" ht="15.75" customHeight="1"/>
    <row r="1175" ht="15.75" customHeight="1"/>
    <row r="1176" ht="15.75" customHeight="1"/>
    <row r="1177" ht="15.75" customHeight="1"/>
    <row r="1178" ht="15.75" customHeight="1"/>
    <row r="1179" ht="15.75" customHeight="1"/>
    <row r="1180" ht="15.75" customHeight="1"/>
    <row r="1181" ht="15.75" customHeight="1"/>
    <row r="1182" ht="15.75" customHeight="1"/>
    <row r="1183" ht="15.75" customHeight="1"/>
    <row r="1184" ht="15.75" customHeight="1"/>
    <row r="1185" ht="15.75" customHeight="1"/>
    <row r="1186" ht="15.75" customHeight="1"/>
    <row r="1187" ht="15.75" customHeight="1"/>
    <row r="1188" ht="15.75" customHeight="1"/>
    <row r="1189" ht="15.75" customHeight="1"/>
    <row r="1190" ht="15.75" customHeight="1"/>
    <row r="1191" ht="15.75" customHeight="1"/>
    <row r="1192" ht="15.75" customHeight="1"/>
    <row r="1193" ht="15.75" customHeight="1"/>
    <row r="1194" ht="15.75" customHeight="1"/>
    <row r="1195" ht="15.75" customHeight="1"/>
    <row r="1196" ht="15.75" customHeight="1"/>
    <row r="1197" ht="15.75" customHeight="1"/>
    <row r="1198" ht="15.75" customHeight="1"/>
    <row r="1199" ht="15.75" customHeight="1"/>
    <row r="1200" ht="15.75" customHeight="1"/>
    <row r="1201" ht="15.75" customHeight="1"/>
    <row r="1202" ht="15.75" customHeight="1"/>
    <row r="1203" ht="15.75" customHeight="1"/>
    <row r="1204" ht="15.75" customHeight="1"/>
    <row r="1205" ht="15.75" customHeight="1"/>
    <row r="1206" ht="15.75" customHeight="1"/>
    <row r="1207" ht="15.75" customHeight="1"/>
    <row r="1208" ht="15.75" customHeight="1"/>
    <row r="1209" ht="15.75" customHeight="1"/>
    <row r="1210" ht="15.75" customHeight="1"/>
    <row r="1211" ht="15.75" customHeight="1"/>
    <row r="1212" ht="15.75" customHeight="1"/>
    <row r="1213" ht="15.75" customHeight="1"/>
    <row r="1214" ht="15.75" customHeight="1"/>
    <row r="1215" ht="15.75" customHeight="1"/>
    <row r="1216" ht="15.75" customHeight="1"/>
    <row r="1217" ht="15.75" customHeight="1"/>
    <row r="1218" ht="15.75" customHeight="1">
      <c r="A1218" s="67">
        <v>2019.0</v>
      </c>
      <c r="B1218" s="68" t="s">
        <v>38</v>
      </c>
      <c r="C1218" s="67">
        <v>0.0</v>
      </c>
      <c r="D1218" s="70">
        <v>0.0</v>
      </c>
      <c r="E1218" s="72"/>
    </row>
    <row r="1219" ht="15.75" customHeight="1">
      <c r="A1219" s="67">
        <v>2019.0</v>
      </c>
      <c r="B1219" s="68" t="s">
        <v>38</v>
      </c>
      <c r="C1219" s="67">
        <v>1.0</v>
      </c>
      <c r="D1219" s="70">
        <v>0.0</v>
      </c>
    </row>
    <row r="1220" ht="15.75" customHeight="1">
      <c r="A1220" s="67">
        <v>2019.0</v>
      </c>
      <c r="B1220" s="68" t="s">
        <v>38</v>
      </c>
      <c r="C1220" s="67">
        <v>5.0</v>
      </c>
      <c r="D1220" s="70">
        <v>1.0</v>
      </c>
    </row>
    <row r="1221" ht="15.75" customHeight="1">
      <c r="A1221" s="67">
        <v>2019.0</v>
      </c>
      <c r="B1221" s="68" t="s">
        <v>38</v>
      </c>
      <c r="C1221" s="67">
        <v>10.0</v>
      </c>
      <c r="D1221" s="70">
        <v>0.0</v>
      </c>
    </row>
    <row r="1222" ht="15.75" customHeight="1">
      <c r="A1222" s="67">
        <v>2019.0</v>
      </c>
      <c r="B1222" s="68" t="s">
        <v>38</v>
      </c>
      <c r="C1222" s="67">
        <v>15.0</v>
      </c>
      <c r="D1222" s="70">
        <v>4.0</v>
      </c>
    </row>
    <row r="1223" ht="15.75" customHeight="1">
      <c r="A1223" s="67">
        <v>2019.0</v>
      </c>
      <c r="B1223" s="68" t="s">
        <v>38</v>
      </c>
      <c r="C1223" s="67">
        <v>20.0</v>
      </c>
      <c r="D1223" s="70">
        <v>6.0</v>
      </c>
    </row>
    <row r="1224" ht="15.75" customHeight="1">
      <c r="A1224" s="67">
        <v>2019.0</v>
      </c>
      <c r="B1224" s="68" t="s">
        <v>38</v>
      </c>
      <c r="C1224" s="67">
        <v>25.0</v>
      </c>
      <c r="D1224" s="70">
        <v>4.0</v>
      </c>
    </row>
    <row r="1225" ht="15.75" customHeight="1">
      <c r="A1225" s="67">
        <v>2019.0</v>
      </c>
      <c r="B1225" s="68" t="s">
        <v>38</v>
      </c>
      <c r="C1225" s="67">
        <v>30.0</v>
      </c>
      <c r="D1225" s="70">
        <v>3.0</v>
      </c>
    </row>
    <row r="1226" ht="15.75" customHeight="1">
      <c r="A1226" s="67">
        <v>2019.0</v>
      </c>
      <c r="B1226" s="68" t="s">
        <v>38</v>
      </c>
      <c r="C1226" s="67">
        <v>35.0</v>
      </c>
      <c r="D1226" s="70">
        <v>1.0</v>
      </c>
    </row>
    <row r="1227" ht="15.75" customHeight="1">
      <c r="A1227" s="67">
        <v>2019.0</v>
      </c>
      <c r="B1227" s="68" t="s">
        <v>38</v>
      </c>
      <c r="C1227" s="67">
        <v>40.0</v>
      </c>
      <c r="D1227" s="70">
        <v>2.0</v>
      </c>
    </row>
    <row r="1228" ht="15.75" customHeight="1">
      <c r="A1228" s="67">
        <v>2019.0</v>
      </c>
      <c r="B1228" s="68" t="s">
        <v>38</v>
      </c>
      <c r="C1228" s="67">
        <v>45.0</v>
      </c>
      <c r="D1228" s="70">
        <v>1.0</v>
      </c>
    </row>
    <row r="1229" ht="15.75" customHeight="1">
      <c r="A1229" s="67">
        <v>2019.0</v>
      </c>
      <c r="B1229" s="68" t="s">
        <v>38</v>
      </c>
      <c r="C1229" s="67">
        <v>50.0</v>
      </c>
      <c r="D1229" s="70">
        <v>2.0</v>
      </c>
    </row>
    <row r="1230" ht="15.75" customHeight="1">
      <c r="A1230" s="67">
        <v>2019.0</v>
      </c>
      <c r="B1230" s="68" t="s">
        <v>38</v>
      </c>
      <c r="C1230" s="67">
        <v>55.0</v>
      </c>
      <c r="D1230" s="70">
        <v>0.0</v>
      </c>
    </row>
    <row r="1231" ht="15.75" customHeight="1">
      <c r="A1231" s="67">
        <v>2019.0</v>
      </c>
      <c r="B1231" s="68" t="s">
        <v>38</v>
      </c>
      <c r="C1231" s="67">
        <v>60.0</v>
      </c>
      <c r="D1231" s="70">
        <v>0.0</v>
      </c>
    </row>
    <row r="1232" ht="15.75" customHeight="1">
      <c r="A1232" s="67">
        <v>2019.0</v>
      </c>
      <c r="B1232" s="68" t="s">
        <v>38</v>
      </c>
      <c r="C1232" s="67">
        <v>65.0</v>
      </c>
      <c r="D1232" s="70">
        <v>0.0</v>
      </c>
    </row>
    <row r="1233" ht="15.75" customHeight="1">
      <c r="A1233" s="67">
        <v>2019.0</v>
      </c>
      <c r="B1233" s="68" t="s">
        <v>38</v>
      </c>
      <c r="C1233" s="67">
        <v>70.0</v>
      </c>
      <c r="D1233" s="70">
        <v>0.0</v>
      </c>
    </row>
    <row r="1234" ht="15.75" customHeight="1">
      <c r="A1234" s="67">
        <v>2019.0</v>
      </c>
      <c r="B1234" s="68" t="s">
        <v>38</v>
      </c>
      <c r="C1234" s="67">
        <v>75.0</v>
      </c>
      <c r="D1234" s="70">
        <v>0.0</v>
      </c>
    </row>
    <row r="1235" ht="15.75" customHeight="1">
      <c r="A1235" s="67">
        <v>2019.0</v>
      </c>
      <c r="B1235" s="68" t="s">
        <v>38</v>
      </c>
      <c r="C1235" s="67">
        <v>80.0</v>
      </c>
      <c r="D1235" s="70">
        <v>0.0</v>
      </c>
    </row>
    <row r="1236" ht="15.75" customHeight="1">
      <c r="A1236" s="67">
        <v>2019.0</v>
      </c>
      <c r="B1236" s="68" t="s">
        <v>38</v>
      </c>
      <c r="C1236" s="67">
        <v>85.0</v>
      </c>
      <c r="D1236" s="70">
        <v>1.0</v>
      </c>
      <c r="E1236" s="72"/>
    </row>
    <row r="1237" ht="15.75" customHeight="1"/>
    <row r="1238" ht="15.75" customHeight="1"/>
    <row r="1239" ht="15.75" customHeight="1"/>
    <row r="1240" ht="15.75" customHeight="1"/>
    <row r="1241" ht="15.75" customHeight="1"/>
    <row r="1242" ht="15.75" customHeight="1"/>
    <row r="1243" ht="15.75" customHeight="1"/>
    <row r="1244" ht="15.75" customHeight="1"/>
    <row r="1245" ht="15.75" customHeight="1"/>
    <row r="1246" ht="15.75" customHeight="1"/>
    <row r="1247" ht="15.75" customHeight="1"/>
    <row r="1248" ht="15.75" customHeight="1"/>
    <row r="1249" ht="15.75" customHeight="1"/>
    <row r="1250" ht="15.75" customHeight="1"/>
    <row r="1251" ht="15.75" customHeight="1"/>
    <row r="1252" ht="15.75" customHeight="1"/>
    <row r="1253" ht="15.75" customHeight="1"/>
    <row r="1254" ht="15.75" customHeight="1"/>
    <row r="1255" ht="15.75" customHeight="1"/>
    <row r="1256" ht="15.75" customHeight="1"/>
    <row r="1257" ht="15.75" customHeight="1"/>
    <row r="1258" ht="15.75" customHeight="1"/>
    <row r="1259" ht="15.75" customHeight="1"/>
    <row r="1260" ht="15.75" customHeight="1"/>
    <row r="1261" ht="15.75" customHeight="1"/>
    <row r="1262" ht="15.75" customHeight="1"/>
    <row r="1263" ht="15.75" customHeight="1"/>
    <row r="1264" ht="15.75" customHeight="1"/>
    <row r="1265" ht="15.75" customHeight="1"/>
    <row r="1266" ht="15.75" customHeight="1"/>
    <row r="1267" ht="15.75" customHeight="1"/>
    <row r="1268" ht="15.75" customHeight="1"/>
    <row r="1269" ht="15.75" customHeight="1"/>
    <row r="1270" ht="15.75" customHeight="1"/>
    <row r="1271" ht="15.75" customHeight="1"/>
    <row r="1272" ht="15.75" customHeight="1"/>
    <row r="1273" ht="15.75" customHeight="1"/>
    <row r="1274" ht="15.75" customHeight="1"/>
    <row r="1275" ht="15.75" customHeight="1"/>
    <row r="1276" ht="15.75" customHeight="1"/>
    <row r="1277" ht="15.75" customHeight="1"/>
    <row r="1278" ht="15.75" customHeight="1"/>
    <row r="1279" ht="15.75" customHeight="1"/>
    <row r="1280" ht="15.75" customHeight="1"/>
    <row r="1281" ht="15.75" customHeight="1"/>
    <row r="1282" ht="15.75" customHeight="1"/>
    <row r="1283" ht="15.75" customHeight="1"/>
    <row r="1284" ht="15.75" customHeight="1"/>
    <row r="1285" ht="15.75" customHeight="1"/>
    <row r="1286" ht="15.75" customHeight="1"/>
    <row r="1287" ht="15.75" customHeight="1"/>
    <row r="1288" ht="15.75" customHeight="1"/>
    <row r="1289" ht="15.75" customHeight="1"/>
    <row r="1290" ht="15.75" customHeight="1"/>
    <row r="1291" ht="15.75" customHeight="1"/>
    <row r="1292" ht="15.75" customHeight="1"/>
    <row r="1293" ht="15.75" customHeight="1"/>
    <row r="1294" ht="15.75" customHeight="1"/>
    <row r="1295" ht="15.75" customHeight="1"/>
    <row r="1296" ht="15.75" customHeight="1"/>
    <row r="1297" ht="15.75" customHeight="1"/>
    <row r="1298" ht="15.75" customHeight="1"/>
    <row r="1299" ht="15.75" customHeight="1"/>
    <row r="1300" ht="15.75" customHeight="1"/>
    <row r="1301" ht="15.75" customHeight="1"/>
    <row r="1302" ht="15.75" customHeight="1"/>
    <row r="1303" ht="15.75" customHeight="1"/>
    <row r="1304" ht="15.75" customHeight="1"/>
    <row r="1305" ht="15.75" customHeight="1"/>
    <row r="1306" ht="15.75" customHeight="1"/>
    <row r="1307" ht="15.75" customHeight="1"/>
    <row r="1308" ht="15.75" customHeight="1"/>
    <row r="1309" ht="15.75" customHeight="1"/>
    <row r="1310" ht="15.75" customHeight="1"/>
    <row r="1311" ht="15.75" customHeight="1"/>
    <row r="1312" ht="15.75" customHeight="1"/>
    <row r="1313" ht="15.75" customHeight="1"/>
    <row r="1314" ht="15.75" customHeight="1"/>
    <row r="1315" ht="15.75" customHeight="1"/>
    <row r="1316" ht="15.75" customHeight="1"/>
    <row r="1317" ht="15.75" customHeight="1"/>
    <row r="1318" ht="15.75" customHeight="1"/>
    <row r="1319" ht="15.75" customHeight="1"/>
    <row r="1320" ht="15.75" customHeight="1"/>
    <row r="1321" ht="15.75" customHeight="1"/>
    <row r="1322" ht="15.75" customHeight="1"/>
    <row r="1323" ht="15.75" customHeight="1"/>
    <row r="1324" ht="15.75" customHeight="1"/>
    <row r="1325" ht="15.75" customHeight="1"/>
    <row r="1326" ht="15.75" customHeight="1"/>
    <row r="1327" ht="15.75" customHeight="1"/>
    <row r="1328" ht="15.75" customHeight="1"/>
    <row r="1329" ht="15.75" customHeight="1"/>
    <row r="1330" ht="15.75" customHeight="1"/>
    <row r="1331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6" width="10.71"/>
  </cols>
  <sheetData>
    <row r="1">
      <c r="A1" s="61" t="s">
        <v>24</v>
      </c>
      <c r="B1" s="61" t="s">
        <v>25</v>
      </c>
      <c r="C1" s="61" t="s">
        <v>26</v>
      </c>
      <c r="D1" s="61" t="s">
        <v>39</v>
      </c>
    </row>
    <row r="20">
      <c r="G20" s="73"/>
      <c r="H20" s="73"/>
      <c r="I20" s="73"/>
      <c r="J20" s="73"/>
    </row>
    <row r="21" ht="15.75" customHeight="1">
      <c r="A21" s="64">
        <v>2019.0</v>
      </c>
      <c r="B21" s="64" t="s">
        <v>40</v>
      </c>
      <c r="C21" s="64">
        <v>0.0</v>
      </c>
      <c r="D21" s="66">
        <v>143.0</v>
      </c>
      <c r="E21" s="74"/>
      <c r="G21" s="75"/>
      <c r="H21" s="75"/>
      <c r="I21" s="75"/>
      <c r="J21" s="75"/>
    </row>
    <row r="22" ht="15.75" customHeight="1">
      <c r="A22" s="64">
        <v>2019.0</v>
      </c>
      <c r="B22" s="64" t="s">
        <v>40</v>
      </c>
      <c r="C22" s="64">
        <v>1.0</v>
      </c>
      <c r="D22" s="66">
        <v>23.0</v>
      </c>
      <c r="G22" s="75"/>
      <c r="H22" s="75"/>
      <c r="I22" s="75"/>
      <c r="J22" s="75"/>
    </row>
    <row r="23" ht="15.75" customHeight="1">
      <c r="A23" s="64">
        <v>2019.0</v>
      </c>
      <c r="B23" s="64" t="s">
        <v>40</v>
      </c>
      <c r="C23" s="64">
        <v>5.0</v>
      </c>
      <c r="D23" s="66">
        <v>14.0</v>
      </c>
      <c r="G23" s="75"/>
      <c r="H23" s="75"/>
      <c r="I23" s="75"/>
      <c r="J23" s="75"/>
    </row>
    <row r="24" ht="15.75" customHeight="1">
      <c r="A24" s="64">
        <v>2019.0</v>
      </c>
      <c r="B24" s="64" t="s">
        <v>40</v>
      </c>
      <c r="C24" s="64">
        <v>10.0</v>
      </c>
      <c r="D24" s="66">
        <v>10.0</v>
      </c>
      <c r="G24" s="75"/>
      <c r="H24" s="75"/>
      <c r="I24" s="75"/>
      <c r="J24" s="75"/>
    </row>
    <row r="25" ht="15.75" customHeight="1">
      <c r="A25" s="64">
        <v>2019.0</v>
      </c>
      <c r="B25" s="64" t="s">
        <v>40</v>
      </c>
      <c r="C25" s="64">
        <v>15.0</v>
      </c>
      <c r="D25" s="66">
        <v>56.0</v>
      </c>
      <c r="G25" s="75"/>
      <c r="H25" s="75"/>
      <c r="I25" s="75"/>
      <c r="J25" s="75"/>
    </row>
    <row r="26" ht="15.75" customHeight="1">
      <c r="A26" s="64">
        <v>2019.0</v>
      </c>
      <c r="B26" s="64" t="s">
        <v>40</v>
      </c>
      <c r="C26" s="64">
        <v>20.0</v>
      </c>
      <c r="D26" s="66">
        <v>95.0</v>
      </c>
      <c r="G26" s="75"/>
      <c r="H26" s="75"/>
      <c r="I26" s="75"/>
      <c r="J26" s="75"/>
    </row>
    <row r="27" ht="15.75" customHeight="1">
      <c r="A27" s="64">
        <v>2019.0</v>
      </c>
      <c r="B27" s="64" t="s">
        <v>40</v>
      </c>
      <c r="C27" s="64">
        <v>25.0</v>
      </c>
      <c r="D27" s="66">
        <v>144.0</v>
      </c>
      <c r="G27" s="75"/>
      <c r="H27" s="75"/>
      <c r="I27" s="75"/>
      <c r="J27" s="75"/>
    </row>
    <row r="28" ht="15.75" customHeight="1">
      <c r="A28" s="64">
        <v>2019.0</v>
      </c>
      <c r="B28" s="64" t="s">
        <v>40</v>
      </c>
      <c r="C28" s="64">
        <v>30.0</v>
      </c>
      <c r="D28" s="66">
        <v>157.0</v>
      </c>
      <c r="G28" s="75"/>
      <c r="H28" s="75"/>
      <c r="I28" s="75"/>
      <c r="J28" s="75"/>
    </row>
    <row r="29" ht="15.75" customHeight="1">
      <c r="A29" s="64">
        <v>2019.0</v>
      </c>
      <c r="B29" s="64" t="s">
        <v>40</v>
      </c>
      <c r="C29" s="64">
        <v>35.0</v>
      </c>
      <c r="D29" s="66">
        <v>197.0</v>
      </c>
      <c r="G29" s="75"/>
      <c r="H29" s="75"/>
      <c r="I29" s="75"/>
      <c r="J29" s="75"/>
    </row>
    <row r="30" ht="15.75" customHeight="1">
      <c r="A30" s="64">
        <v>2019.0</v>
      </c>
      <c r="B30" s="64" t="s">
        <v>40</v>
      </c>
      <c r="C30" s="64">
        <v>40.0</v>
      </c>
      <c r="D30" s="66">
        <v>290.0</v>
      </c>
      <c r="G30" s="75"/>
      <c r="H30" s="75"/>
      <c r="I30" s="75"/>
      <c r="J30" s="75"/>
    </row>
    <row r="31" ht="15.75" customHeight="1">
      <c r="A31" s="64">
        <v>2019.0</v>
      </c>
      <c r="B31" s="64" t="s">
        <v>40</v>
      </c>
      <c r="C31" s="64">
        <v>45.0</v>
      </c>
      <c r="D31" s="66">
        <v>398.0</v>
      </c>
      <c r="G31" s="75"/>
      <c r="H31" s="75"/>
      <c r="I31" s="75"/>
      <c r="J31" s="75"/>
    </row>
    <row r="32" ht="15.75" customHeight="1">
      <c r="A32" s="64">
        <v>2019.0</v>
      </c>
      <c r="B32" s="64" t="s">
        <v>40</v>
      </c>
      <c r="C32" s="64">
        <v>50.0</v>
      </c>
      <c r="D32" s="66">
        <v>502.0</v>
      </c>
      <c r="G32" s="75"/>
      <c r="H32" s="75"/>
      <c r="I32" s="75"/>
      <c r="J32" s="75"/>
    </row>
    <row r="33" ht="15.75" customHeight="1">
      <c r="A33" s="64">
        <v>2019.0</v>
      </c>
      <c r="B33" s="64" t="s">
        <v>40</v>
      </c>
      <c r="C33" s="64">
        <v>55.0</v>
      </c>
      <c r="D33" s="66">
        <v>560.0</v>
      </c>
      <c r="G33" s="75"/>
      <c r="H33" s="75"/>
      <c r="I33" s="75"/>
      <c r="J33" s="75"/>
    </row>
    <row r="34" ht="15.75" customHeight="1">
      <c r="A34" s="64">
        <v>2019.0</v>
      </c>
      <c r="B34" s="64" t="s">
        <v>40</v>
      </c>
      <c r="C34" s="64">
        <v>60.0</v>
      </c>
      <c r="D34" s="66">
        <v>740.0</v>
      </c>
      <c r="G34" s="75"/>
      <c r="H34" s="75"/>
      <c r="I34" s="75"/>
      <c r="J34" s="75"/>
    </row>
    <row r="35" ht="15.75" customHeight="1">
      <c r="A35" s="64">
        <v>2019.0</v>
      </c>
      <c r="B35" s="64" t="s">
        <v>40</v>
      </c>
      <c r="C35" s="64">
        <v>65.0</v>
      </c>
      <c r="D35" s="66">
        <v>642.0</v>
      </c>
      <c r="G35" s="75"/>
      <c r="H35" s="75"/>
      <c r="I35" s="75"/>
      <c r="J35" s="75"/>
    </row>
    <row r="36" ht="15.75" customHeight="1">
      <c r="A36" s="64">
        <v>2019.0</v>
      </c>
      <c r="B36" s="64" t="s">
        <v>40</v>
      </c>
      <c r="C36" s="64">
        <v>70.0</v>
      </c>
      <c r="D36" s="66">
        <v>636.0</v>
      </c>
      <c r="G36" s="75"/>
      <c r="H36" s="75"/>
      <c r="I36" s="75"/>
      <c r="J36" s="75"/>
    </row>
    <row r="37" ht="15.75" customHeight="1">
      <c r="A37" s="64">
        <v>2019.0</v>
      </c>
      <c r="B37" s="64" t="s">
        <v>40</v>
      </c>
      <c r="C37" s="64">
        <v>75.0</v>
      </c>
      <c r="D37" s="66">
        <v>635.0</v>
      </c>
      <c r="G37" s="75"/>
      <c r="H37" s="75"/>
      <c r="I37" s="75"/>
      <c r="J37" s="75"/>
    </row>
    <row r="38" ht="15.75" customHeight="1">
      <c r="A38" s="64">
        <v>2019.0</v>
      </c>
      <c r="B38" s="64" t="s">
        <v>40</v>
      </c>
      <c r="C38" s="64">
        <v>80.0</v>
      </c>
      <c r="D38" s="66">
        <v>578.0</v>
      </c>
      <c r="G38" s="75"/>
      <c r="H38" s="75"/>
      <c r="I38" s="75"/>
      <c r="J38" s="75"/>
    </row>
    <row r="39" ht="15.75" customHeight="1">
      <c r="A39" s="64">
        <v>2019.0</v>
      </c>
      <c r="B39" s="64" t="s">
        <v>40</v>
      </c>
      <c r="C39" s="64">
        <v>85.0</v>
      </c>
      <c r="D39" s="66">
        <v>929.0</v>
      </c>
      <c r="E39" s="74"/>
      <c r="G39" s="75"/>
      <c r="H39" s="75"/>
      <c r="I39" s="75"/>
      <c r="J39" s="75"/>
    </row>
    <row r="40" ht="15.75" customHeight="1">
      <c r="G40" s="75"/>
      <c r="H40" s="75"/>
      <c r="I40" s="75"/>
      <c r="J40" s="75"/>
    </row>
    <row r="41" ht="15.75" customHeight="1">
      <c r="G41" s="75"/>
      <c r="H41" s="75"/>
      <c r="I41" s="75"/>
      <c r="J41" s="75"/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>
      <c r="A78" s="67">
        <v>2019.0</v>
      </c>
      <c r="B78" s="68" t="s">
        <v>38</v>
      </c>
      <c r="C78" s="67">
        <v>0.0</v>
      </c>
      <c r="D78" s="75">
        <v>117.0</v>
      </c>
      <c r="E78" s="72"/>
    </row>
    <row r="79" ht="15.75" customHeight="1">
      <c r="A79" s="67">
        <v>2019.0</v>
      </c>
      <c r="B79" s="68" t="s">
        <v>38</v>
      </c>
      <c r="C79" s="67">
        <v>1.0</v>
      </c>
      <c r="D79" s="75">
        <v>17.0</v>
      </c>
    </row>
    <row r="80" ht="15.75" customHeight="1">
      <c r="A80" s="67">
        <v>2019.0</v>
      </c>
      <c r="B80" s="68" t="s">
        <v>38</v>
      </c>
      <c r="C80" s="67">
        <v>5.0</v>
      </c>
      <c r="D80" s="75">
        <v>6.0</v>
      </c>
    </row>
    <row r="81" ht="15.75" customHeight="1">
      <c r="A81" s="67">
        <v>2019.0</v>
      </c>
      <c r="B81" s="68" t="s">
        <v>38</v>
      </c>
      <c r="C81" s="67">
        <v>10.0</v>
      </c>
      <c r="D81" s="75">
        <v>15.0</v>
      </c>
    </row>
    <row r="82" ht="15.75" customHeight="1">
      <c r="A82" s="67">
        <v>2019.0</v>
      </c>
      <c r="B82" s="68" t="s">
        <v>38</v>
      </c>
      <c r="C82" s="67">
        <v>15.0</v>
      </c>
      <c r="D82" s="75">
        <v>33.0</v>
      </c>
    </row>
    <row r="83" ht="15.75" customHeight="1">
      <c r="A83" s="67">
        <v>2019.0</v>
      </c>
      <c r="B83" s="68" t="s">
        <v>38</v>
      </c>
      <c r="C83" s="67">
        <v>20.0</v>
      </c>
      <c r="D83" s="75">
        <v>45.0</v>
      </c>
    </row>
    <row r="84" ht="15.75" customHeight="1">
      <c r="A84" s="67">
        <v>2019.0</v>
      </c>
      <c r="B84" s="68" t="s">
        <v>38</v>
      </c>
      <c r="C84" s="67">
        <v>25.0</v>
      </c>
      <c r="D84" s="75">
        <v>63.0</v>
      </c>
    </row>
    <row r="85" ht="15.75" customHeight="1">
      <c r="A85" s="67">
        <v>2019.0</v>
      </c>
      <c r="B85" s="68" t="s">
        <v>38</v>
      </c>
      <c r="C85" s="67">
        <v>30.0</v>
      </c>
      <c r="D85" s="75">
        <v>64.0</v>
      </c>
    </row>
    <row r="86" ht="15.75" customHeight="1">
      <c r="A86" s="67">
        <v>2019.0</v>
      </c>
      <c r="B86" s="68" t="s">
        <v>38</v>
      </c>
      <c r="C86" s="67">
        <v>35.0</v>
      </c>
      <c r="D86" s="75">
        <v>82.0</v>
      </c>
    </row>
    <row r="87" ht="15.75" customHeight="1">
      <c r="A87" s="67">
        <v>2019.0</v>
      </c>
      <c r="B87" s="68" t="s">
        <v>38</v>
      </c>
      <c r="C87" s="67">
        <v>40.0</v>
      </c>
      <c r="D87" s="75">
        <v>142.0</v>
      </c>
    </row>
    <row r="88" ht="15.75" customHeight="1">
      <c r="A88" s="67">
        <v>2019.0</v>
      </c>
      <c r="B88" s="68" t="s">
        <v>38</v>
      </c>
      <c r="C88" s="67">
        <v>45.0</v>
      </c>
      <c r="D88" s="75">
        <v>201.0</v>
      </c>
    </row>
    <row r="89" ht="15.75" customHeight="1">
      <c r="A89" s="67">
        <v>2019.0</v>
      </c>
      <c r="B89" s="68" t="s">
        <v>38</v>
      </c>
      <c r="C89" s="67">
        <v>50.0</v>
      </c>
      <c r="D89" s="75">
        <v>269.0</v>
      </c>
    </row>
    <row r="90" ht="15.75" customHeight="1">
      <c r="A90" s="67">
        <v>2019.0</v>
      </c>
      <c r="B90" s="68" t="s">
        <v>38</v>
      </c>
      <c r="C90" s="67">
        <v>55.0</v>
      </c>
      <c r="D90" s="75">
        <v>352.0</v>
      </c>
    </row>
    <row r="91" ht="15.75" customHeight="1">
      <c r="A91" s="67">
        <v>2019.0</v>
      </c>
      <c r="B91" s="68" t="s">
        <v>38</v>
      </c>
      <c r="C91" s="67">
        <v>60.0</v>
      </c>
      <c r="D91" s="75">
        <v>386.0</v>
      </c>
    </row>
    <row r="92" ht="15.75" customHeight="1">
      <c r="A92" s="67">
        <v>2019.0</v>
      </c>
      <c r="B92" s="68" t="s">
        <v>38</v>
      </c>
      <c r="C92" s="67">
        <v>65.0</v>
      </c>
      <c r="D92" s="75">
        <v>454.0</v>
      </c>
    </row>
    <row r="93" ht="15.75" customHeight="1">
      <c r="A93" s="67">
        <v>2019.0</v>
      </c>
      <c r="B93" s="68" t="s">
        <v>38</v>
      </c>
      <c r="C93" s="67">
        <v>70.0</v>
      </c>
      <c r="D93" s="75">
        <v>459.0</v>
      </c>
    </row>
    <row r="94" ht="15.75" customHeight="1">
      <c r="A94" s="67">
        <v>2019.0</v>
      </c>
      <c r="B94" s="68" t="s">
        <v>38</v>
      </c>
      <c r="C94" s="67">
        <v>75.0</v>
      </c>
      <c r="D94" s="75">
        <v>481.0</v>
      </c>
    </row>
    <row r="95" ht="15.75" customHeight="1">
      <c r="A95" s="67">
        <v>2019.0</v>
      </c>
      <c r="B95" s="68" t="s">
        <v>38</v>
      </c>
      <c r="C95" s="67">
        <v>80.0</v>
      </c>
      <c r="D95" s="75">
        <v>546.0</v>
      </c>
    </row>
    <row r="96" ht="15.75" customHeight="1">
      <c r="A96" s="67">
        <v>2019.0</v>
      </c>
      <c r="B96" s="68" t="s">
        <v>38</v>
      </c>
      <c r="C96" s="67">
        <v>85.0</v>
      </c>
      <c r="D96" s="68">
        <v>1034.0</v>
      </c>
      <c r="E96" s="72"/>
    </row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